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C881E0DA-6A16-4369-8554-6AA6AECD5B28}" xr6:coauthVersionLast="47" xr6:coauthVersionMax="47" xr10:uidLastSave="{00000000-0000-0000-0000-000000000000}"/>
  <bookViews>
    <workbookView xWindow="-120" yWindow="-120" windowWidth="20730" windowHeight="11040"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<sst xmlns="http://schemas.openxmlformats.org/spreadsheetml/2006/main" count="16274" uniqueCount="50">
  <si>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</si>
  <si>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</si>
  <si>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</si>
  <si>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</si>
  <si>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</si>
  <si>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</si>
  <si>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</si>
  <si>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</si>
  <si>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</si>
  <si>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</si>
  <si>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</si>
  <si>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</si>
  <si>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</si>
  <si>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</si>
  <si>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</si>
  <si>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</si>
  <si>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</si>
  <si>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</si>
  <si>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</si>
  <si>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</si>
  <si>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</si>
  <si>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</si>
  <si>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</si>
  <si>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</si>
  <si>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</si>
  <si>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</si>
  <si>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</si>
  <si>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</si>
  <si>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</si>
  <si>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</si>
  <si>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</si>
  <si>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</si>
  <si>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</si>
  <si>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</si>
  <si>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</si>
  <si>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</si>
  <si>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</si>
  <si>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</si>
  <si>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</si>
  <si>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</si>
  <si>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</si>
  <si>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</si>
  <si>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</si>
  <si>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</si>
  <si>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Column Labels</t>
  </si>
  <si>
    <t>Count of Purchased Bike</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</si>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</sst>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55"/>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Bicycle Project SH.xlsx]Pivot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82C-4594-99E9-79E92B35BBC6}"/>
            </c:ext>
          </c:extLst>
        </c:ser>
        <c:ser>
          <c:idx val="1"/>
          <c:order val="1"/>
          <c:tx>
            <c:strRef>
              <c:f>'Pivot table'!$C$3:$C$4</c:f>
              <c:strCache>
                <c:ptCount val="1"/>
                <c:pt idx="0">
                  <c:v>Yes</c:v>
                </c:pt>
              </c:strCache>
            </c:strRef>
          </c:tx>
          <c:spPr>
            <a:solidFill>
              <a:schemeClr val="accent3"/>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82C-4594-99E9-79E92B35BBC6}"/>
            </c:ext>
          </c:extLst>
        </c:ser>
        <c:dLbls>
          <c:showLegendKey val="0"/>
          <c:showVal val="0"/>
          <c:showCatName val="0"/>
          <c:showSerName val="0"/>
          <c:showPercent val="0"/>
          <c:showBubbleSize val="0"/>
        </c:dLbls>
        <c:gapWidth val="219"/>
        <c:overlap val="-27"/>
        <c:axId val="2074785487"/>
        <c:axId val="2074805647"/>
      </c:barChart>
      <c:catAx>
        <c:axId val="207478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2074805647"/>
        <c:crosses val="autoZero"/>
        <c:auto val="1"/>
        <c:lblAlgn val="ctr"/>
        <c:lblOffset val="100"/>
        <c:noMultiLvlLbl val="0"/>
      </c:catAx>
      <c:valAx>
        <c:axId val="2074805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A"/>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207478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Bicycle Project SH.xlsx]Pivot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Purchase Distribution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619-43E4-983C-C3B25EA48325}"/>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619-43E4-983C-C3B25EA48325}"/>
            </c:ext>
          </c:extLst>
        </c:ser>
        <c:dLbls>
          <c:showLegendKey val="0"/>
          <c:showVal val="0"/>
          <c:showCatName val="0"/>
          <c:showSerName val="0"/>
          <c:showPercent val="0"/>
          <c:showBubbleSize val="0"/>
        </c:dLbls>
        <c:marker val="1"/>
        <c:smooth val="0"/>
        <c:axId val="177135615"/>
        <c:axId val="177139935"/>
      </c:lineChart>
      <c:catAx>
        <c:axId val="17713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7139935"/>
        <c:crosses val="autoZero"/>
        <c:auto val="1"/>
        <c:lblAlgn val="ctr"/>
        <c:lblOffset val="100"/>
        <c:noMultiLvlLbl val="0"/>
      </c:catAx>
      <c:valAx>
        <c:axId val="17713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713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Bicycle Project SH.xlsx]Pivot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 Age</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8EB-43BB-8566-B4A1724DD35C}"/>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 Age</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8EB-43BB-8566-B4A1724DD35C}"/>
            </c:ext>
          </c:extLst>
        </c:ser>
        <c:dLbls>
          <c:showLegendKey val="0"/>
          <c:showVal val="0"/>
          <c:showCatName val="0"/>
          <c:showSerName val="0"/>
          <c:showPercent val="0"/>
          <c:showBubbleSize val="0"/>
        </c:dLbls>
        <c:marker val="1"/>
        <c:smooth val="0"/>
        <c:axId val="177102975"/>
        <c:axId val="177103935"/>
      </c:lineChart>
      <c:catAx>
        <c:axId val="177102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7103935"/>
        <c:crosses val="autoZero"/>
        <c:auto val="1"/>
        <c:lblAlgn val="ctr"/>
        <c:lblOffset val="100"/>
        <c:noMultiLvlLbl val="0"/>
      </c:catAx>
      <c:valAx>
        <c:axId val="17710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710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Bicycle Project SH.xlsx]Pivot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table'!$B$57:$B$110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C8F-46D3-A847-773D5314204F}"/>
            </c:ext>
          </c:extLst>
        </c:ser>
        <c:ser>
          <c:idx val="1"/>
          <c:order val="1"/>
          <c:tx>
            <c:strRef>
              <c:f>'Pivot table'!$C$55:$C$56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table'!$C$57:$C$110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C8F-46D3-A847-773D5314204F}"/>
            </c:ext>
          </c:extLst>
        </c:ser>
        <c:dLbls>
          <c:showLegendKey val="0"/>
          <c:showVal val="0"/>
          <c:showCatName val="0"/>
          <c:showSerName val="0"/>
          <c:showPercent val="0"/>
          <c:showBubbleSize val="0"/>
        </c:dLbls>
        <c:marker val="1"/>
        <c:smooth val="0"/>
        <c:axId val="177101535"/>
        <c:axId val="177111615"/>
      </c:lineChart>
      <c:catAx>
        <c:axId val="17710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7111615"/>
        <c:crosses val="autoZero"/>
        <c:auto val="1"/>
        <c:lblAlgn val="ctr"/>
        <c:lblOffset val="100"/>
        <c:noMultiLvlLbl val="0"/>
      </c:catAx>
      <c:valAx>
        <c:axId val="17711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710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Bicycle Project SH.xlsx]Pivot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3AA-453F-84AD-C13D27AA51BF}"/>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3AA-453F-84AD-C13D27AA51BF}"/>
            </c:ext>
          </c:extLst>
        </c:ser>
        <c:dLbls>
          <c:showLegendKey val="0"/>
          <c:showVal val="0"/>
          <c:showCatName val="0"/>
          <c:showSerName val="0"/>
          <c:showPercent val="0"/>
          <c:showBubbleSize val="0"/>
        </c:dLbls>
        <c:gapWidth val="100"/>
        <c:overlap val="-24"/>
        <c:axId val="2074785487"/>
        <c:axId val="2074805647"/>
      </c:barChart>
      <c:catAx>
        <c:axId val="20747854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2074805647"/>
        <c:crosses val="autoZero"/>
        <c:auto val="1"/>
        <c:lblAlgn val="ctr"/>
        <c:lblOffset val="100"/>
        <c:noMultiLvlLbl val="0"/>
      </c:catAx>
      <c:valAx>
        <c:axId val="2074805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20747854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A"/>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Bicycle Project SH.xlsx]Pivot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Purchase Distribution by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table'!$A$25:$A$30</c:f>
              <c:strCache>
                <c:ptCount val="5"/>
                <c:pt idx="0">
                  <c:v>0-1 Miles</c:v>
                </c:pt>
                <c:pt idx="1">
                  <c:v>1-2 Miles</c:v>
                </c:pt>
                <c:pt idx="2">
                  <c:v>2-5 Miles</c:v>
                </c:pt>
                <c:pt idx="3">
                  <c:v>5-10 Miles</c:v>
                </c:pt>
                <c:pt idx="4">
                  <c:v>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E0A-4D25-A585-EBBA1F7C0D30}"/>
            </c:ext>
          </c:extLst>
        </c:ser>
        <c:ser>
          <c:idx val="1"/>
          <c:order val="1"/>
          <c:tx>
            <c:strRef>
              <c:f>'Pivot table'!$C$23:$C$24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table'!$A$25:$A$30</c:f>
              <c:strCache>
                <c:ptCount val="5"/>
                <c:pt idx="0">
                  <c:v>0-1 Miles</c:v>
                </c:pt>
                <c:pt idx="1">
                  <c:v>1-2 Miles</c:v>
                </c:pt>
                <c:pt idx="2">
                  <c:v>2-5 Miles</c:v>
                </c:pt>
                <c:pt idx="3">
                  <c:v>5-10 Miles</c:v>
                </c:pt>
                <c:pt idx="4">
                  <c:v>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E0A-4D25-A585-EBBA1F7C0D30}"/>
            </c:ext>
          </c:extLst>
        </c:ser>
        <c:dLbls>
          <c:showLegendKey val="0"/>
          <c:showVal val="0"/>
          <c:showCatName val="0"/>
          <c:showSerName val="0"/>
          <c:showPercent val="0"/>
          <c:showBubbleSize val="0"/>
        </c:dLbls>
        <c:marker val="1"/>
        <c:smooth val="0"/>
        <c:axId val="177135615"/>
        <c:axId val="177139935"/>
      </c:lineChart>
      <c:catAx>
        <c:axId val="1771356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7139935"/>
        <c:crosses val="autoZero"/>
        <c:auto val="1"/>
        <c:lblAlgn val="ctr"/>
        <c:lblOffset val="100"/>
        <c:noMultiLvlLbl val="0"/>
      </c:catAx>
      <c:valAx>
        <c:axId val="17713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713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Bicycle Project SH.xlsx]Pivot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table'!$A$39:$A$42</c:f>
              <c:strCache>
                <c:ptCount val="3"/>
                <c:pt idx="0">
                  <c:v>Adolescent</c:v>
                </c:pt>
                <c:pt idx="1">
                  <c:v>Middle Age</c:v>
                </c:pt>
                <c:pt idx="2">
                  <c:v>Old Age</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888-4579-A953-7CC142EE5E54}"/>
            </c:ext>
          </c:extLst>
        </c:ser>
        <c:ser>
          <c:idx val="1"/>
          <c:order val="1"/>
          <c:tx>
            <c:strRef>
              <c:f>'Pivot table'!$C$37:$C$38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table'!$A$39:$A$42</c:f>
              <c:strCache>
                <c:ptCount val="3"/>
                <c:pt idx="0">
                  <c:v>Adolescent</c:v>
                </c:pt>
                <c:pt idx="1">
                  <c:v>Middle Age</c:v>
                </c:pt>
                <c:pt idx="2">
                  <c:v>Old Age</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888-4579-A953-7CC142EE5E54}"/>
            </c:ext>
          </c:extLst>
        </c:ser>
        <c:dLbls>
          <c:showLegendKey val="0"/>
          <c:showVal val="0"/>
          <c:showCatName val="0"/>
          <c:showSerName val="0"/>
          <c:showPercent val="0"/>
          <c:showBubbleSize val="0"/>
        </c:dLbls>
        <c:marker val="1"/>
        <c:smooth val="0"/>
        <c:axId val="177102975"/>
        <c:axId val="177103935"/>
      </c:lineChart>
      <c:catAx>
        <c:axId val="1771029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7103935"/>
        <c:crosses val="autoZero"/>
        <c:auto val="1"/>
        <c:lblAlgn val="ctr"/>
        <c:lblOffset val="100"/>
        <c:noMultiLvlLbl val="0"/>
      </c:catAx>
      <c:valAx>
        <c:axId val="17710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710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466725</xdr:colOff>
      <xdr:row>1</xdr:row>
      <xdr:rowOff>138112</xdr:rowOff>
    </xdr:from>
    <xdr:to>
      <xdr:col>12</xdr:col>
      <xdr:colOff>161925</xdr:colOff>
      <xdr:row>16</xdr:row>
      <xdr:rowOff>23812</xdr:rowOff>
    </xdr:to>
    <xdr:graphicFrame macro="">
      <xdr:nvGraphicFramePr>
        <xdr:cNvPr id="2" name="Chart 1">
          <a:extLst>
            <a:ext uri="{FF2B5EF4-FFF2-40B4-BE49-F238E27FC236}">
              <a16:creationId xmlns:a16="http://schemas.microsoft.com/office/drawing/2014/main" id="{A08C3465-DAA3-0A47-B78B-A07822703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66675</xdr:colOff>
      <xdr:row>17</xdr:row>
      <xdr:rowOff>157162</xdr:rowOff>
    </xdr:from>
    <xdr:to>
      <xdr:col>12</xdr:col>
      <xdr:colOff>371475</xdr:colOff>
      <xdr:row>32</xdr:row>
      <xdr:rowOff>42862</xdr:rowOff>
    </xdr:to>
    <xdr:graphicFrame macro="">
      <xdr:nvGraphicFramePr>
        <xdr:cNvPr id="3" name="Chart 2">
          <a:extLst>
            <a:ext uri="{FF2B5EF4-FFF2-40B4-BE49-F238E27FC236}">
              <a16:creationId xmlns:a16="http://schemas.microsoft.com/office/drawing/2014/main" id="{2F2CBFEC-751F-8FF9-08C0-AFFE3B1DC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438150</xdr:colOff>
      <xdr:row>32</xdr:row>
      <xdr:rowOff>138112</xdr:rowOff>
    </xdr:from>
    <xdr:to>
      <xdr:col>12</xdr:col>
      <xdr:colOff>133350</xdr:colOff>
      <xdr:row>47</xdr:row>
      <xdr:rowOff>23812</xdr:rowOff>
    </xdr:to>
    <xdr:graphicFrame macro="">
      <xdr:nvGraphicFramePr>
        <xdr:cNvPr id="4" name="Chart 3">
          <a:extLst>
            <a:ext uri="{FF2B5EF4-FFF2-40B4-BE49-F238E27FC236}">
              <a16:creationId xmlns:a16="http://schemas.microsoft.com/office/drawing/2014/main" id="{393DD85F-8AD4-396F-CC6C-AEA44667A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333374</xdr:colOff>
      <xdr:row>51</xdr:row>
      <xdr:rowOff>138111</xdr:rowOff>
    </xdr:from>
    <xdr:to>
      <xdr:col>12</xdr:col>
      <xdr:colOff>247649</xdr:colOff>
      <xdr:row>66</xdr:row>
      <xdr:rowOff>104774</xdr:rowOff>
    </xdr:to>
    <xdr:graphicFrame macro="">
      <xdr:nvGraphicFramePr>
        <xdr:cNvPr id="5" name="Chart 4">
          <a:extLst>
            <a:ext uri="{FF2B5EF4-FFF2-40B4-BE49-F238E27FC236}">
              <a16:creationId xmlns:a16="http://schemas.microsoft.com/office/drawing/2014/main" id="{61966056-43F4-96C4-FF0E-65D44007A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56562</xdr:colOff>
      <xdr:row>6</xdr:row>
      <xdr:rowOff>87659</xdr:rowOff>
    </xdr:from>
    <xdr:to>
      <xdr:col>16</xdr:col>
      <xdr:colOff>579783</xdr:colOff>
      <xdr:row>44</xdr:row>
      <xdr:rowOff>165652</xdr:rowOff>
    </xdr:to>
    <xdr:grpSp>
      <xdr:nvGrpSpPr>
        <xdr:cNvPr id="5" name="Group 4">
          <a:extLst>
            <a:ext uri="{FF2B5EF4-FFF2-40B4-BE49-F238E27FC236}">
              <a16:creationId xmlns:a16="http://schemas.microsoft.com/office/drawing/2014/main" id="{7B1E0DF1-5940-9D4A-02CE-EE6C9F3F2631}"/>
            </a:ext>
          </a:extLst>
        </xdr:cNvPr>
        <xdr:cNvGrpSpPr/>
      </xdr:nvGrpSpPr>
      <xdr:grpSpPr>
        <a:xfrm>
          <a:off x="56562" y="1230659"/>
          <a:ext cx="10276821" cy="7316993"/>
          <a:chOff x="705366" y="1330050"/>
          <a:chExt cx="10241482" cy="7421906"/>
        </a:xfrm>
      </xdr:grpSpPr>
      <xdr:graphicFrame macro="">
        <xdr:nvGraphicFramePr>
          <xdr:cNvPr id="2" name="Chart 1">
            <a:extLst>
              <a:ext uri="{FF2B5EF4-FFF2-40B4-BE49-F238E27FC236}">
                <a16:creationId xmlns:a16="http://schemas.microsoft.com/office/drawing/2014/main" id="{CBA4A1FE-D1B5-42F2-AC7C-16C7FD7F9564}"/>
              </a:ext>
            </a:extLst>
          </xdr:cNvPr>
          <xdr:cNvGraphicFramePr>
            <a:graphicFrameLocks/>
          </xdr:cNvGraphicFramePr>
        </xdr:nvGraphicFramePr>
        <xdr:xfrm>
          <a:off x="705366" y="1330050"/>
          <a:ext cx="4926808" cy="32115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13D7792A-F58C-4B7A-A84E-14D2FACFFD2C}"/>
              </a:ext>
            </a:extLst>
          </xdr:cNvPr>
          <xdr:cNvGraphicFramePr>
            <a:graphicFrameLocks/>
          </xdr:cNvGraphicFramePr>
        </xdr:nvGraphicFramePr>
        <xdr:xfrm>
          <a:off x="705366" y="4569237"/>
          <a:ext cx="10236288" cy="418271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23A7A7FA-B9F2-4B07-9761-98A67A68DF4E}"/>
              </a:ext>
            </a:extLst>
          </xdr:cNvPr>
          <xdr:cNvGraphicFramePr>
            <a:graphicFrameLocks/>
          </xdr:cNvGraphicFramePr>
        </xdr:nvGraphicFramePr>
        <xdr:xfrm>
          <a:off x="5618369" y="1330050"/>
          <a:ext cx="5328479" cy="321350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17</xdr:col>
      <xdr:colOff>64191</xdr:colOff>
      <xdr:row>6</xdr:row>
      <xdr:rowOff>126173</xdr:rowOff>
    </xdr:from>
    <xdr:to>
      <xdr:col>19</xdr:col>
      <xdr:colOff>599155</xdr:colOff>
      <xdr:row>28</xdr:row>
      <xdr:rowOff>0</xdr:rowOff>
    </xdr:to>
    <xdr:grpSp>
      <xdr:nvGrpSpPr>
        <xdr:cNvPr id="9" name="Group 8">
          <a:extLst>
            <a:ext uri="{FF2B5EF4-FFF2-40B4-BE49-F238E27FC236}">
              <a16:creationId xmlns:a16="http://schemas.microsoft.com/office/drawing/2014/main" id="{F1D39382-D85A-F992-1E8A-0F031E730C94}"/>
            </a:ext>
          </a:extLst>
        </xdr:cNvPr>
        <xdr:cNvGrpSpPr/>
      </xdr:nvGrpSpPr>
      <xdr:grpSpPr>
        <a:xfrm>
          <a:off x="10427391" y="1269173"/>
          <a:ext cx="1754164" cy="4064827"/>
          <a:chOff x="10510965" y="1232302"/>
          <a:chExt cx="1763996" cy="3929633"/>
        </a:xfrm>
      </xdr:grpSpPr>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00EDFFCB-195C-3130-D5B9-6ECC93FF6C5A}"/>
                  </a:ext>
                </a:extLst>
              </xdr:cNvPr>
              <xdr:cNvGraphicFramePr/>
            </xdr:nvGraphicFramePr>
            <xdr:xfrm>
              <a:off x="10522975" y="1232302"/>
              <a:ext cx="1751986" cy="961253"/>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439334" y="1269173"/>
                <a:ext cx="1742221" cy="994324"/>
              </a:xfrm>
              <a:prstGeom prst="rect">
                <a:avLst/>
              </a:prstGeom>
              <a:solidFill>
                <a:prstClr val="white"/>
              </a:solidFill>
              <a:ln w="1">
                <a:solidFill>
                  <a:prstClr val="green"/>
                </a:solidFill>
              </a:ln>
            </xdr:spPr>
            <xdr:txBody>
              <a:bodyPr vertOverflow="clip" horzOverflow="clip"/>
              <a:lstStyle/>
              <a:p>
                <a:r>
                  <a:rPr lang="en-N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A7E35FA-B576-CDAB-C41A-602C5E62B4AC}"/>
                  </a:ext>
                </a:extLst>
              </xdr:cNvPr>
              <xdr:cNvGraphicFramePr/>
            </xdr:nvGraphicFramePr>
            <xdr:xfrm>
              <a:off x="10538338" y="3425927"/>
              <a:ext cx="1736623" cy="1736008"/>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454611" y="3538267"/>
                <a:ext cx="1726944" cy="1795733"/>
              </a:xfrm>
              <a:prstGeom prst="rect">
                <a:avLst/>
              </a:prstGeom>
              <a:solidFill>
                <a:prstClr val="white"/>
              </a:solidFill>
              <a:ln w="1">
                <a:solidFill>
                  <a:prstClr val="green"/>
                </a:solidFill>
              </a:ln>
            </xdr:spPr>
            <xdr:txBody>
              <a:bodyPr vertOverflow="clip" horzOverflow="clip"/>
              <a:lstStyle/>
              <a:p>
                <a:r>
                  <a:rPr lang="en-N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35757FB-FD09-74FC-D00E-A9E534280D72}"/>
                  </a:ext>
                </a:extLst>
              </xdr:cNvPr>
              <xdr:cNvGraphicFramePr/>
            </xdr:nvGraphicFramePr>
            <xdr:xfrm>
              <a:off x="10510965" y="2242491"/>
              <a:ext cx="1763996" cy="1152711"/>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27391" y="2314116"/>
                <a:ext cx="1754164" cy="1192369"/>
              </a:xfrm>
              <a:prstGeom prst="rect">
                <a:avLst/>
              </a:prstGeom>
              <a:solidFill>
                <a:prstClr val="white"/>
              </a:solidFill>
              <a:ln w="1">
                <a:solidFill>
                  <a:prstClr val="green"/>
                </a:solidFill>
              </a:ln>
            </xdr:spPr>
            <xdr:txBody>
              <a:bodyPr vertOverflow="clip" horzOverflow="clip"/>
              <a:lstStyle/>
              <a:p>
                <a:r>
                  <a:rPr lang="en-N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4.673374421298" createdVersion="8" refreshedVersion="8" minRefreshableVersion="3" recordCount="1000" xr:uid="{5B4B01FF-7CEF-4300-BFF5-6DCA69F24EB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49544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6DEBA-F61E-4D81-849C-99C1FE0817BE}"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5:D11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E9745-4BAD-4D08-8BCF-DE12B115F6DB}"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732D97-FB48-4B41-88D1-214F21D3A764}"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933EE9-71B4-48CB-A9CE-5E534836EEEF}"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7"/>
  </dataFields>
  <formats count="1">
    <format dxfId="1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C941A94-9CF7-46C6-B6DC-35733A579CD1}" sourceName="Marital Status">
  <pivotTables>
    <pivotTable tabId="3" name="PivotTable3"/>
    <pivotTable tabId="3" name="PivotTable1"/>
    <pivotTable tabId="3" name="PivotTable2"/>
    <pivotTable tabId="3" name="PivotTable4"/>
  </pivotTables>
  <data>
    <tabular pivotCacheId="12495443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E28D522-D8DA-4428-BF43-503201C2F578}" sourceName="Education">
  <pivotTables>
    <pivotTable tabId="3" name="PivotTable3"/>
    <pivotTable tabId="3" name="PivotTable1"/>
    <pivotTable tabId="3" name="PivotTable2"/>
    <pivotTable tabId="3" name="PivotTable4"/>
  </pivotTables>
  <data>
    <tabular pivotCacheId="124954436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51C7C5-5EB9-4E6D-B719-3F812496263E}" sourceName="Region">
  <pivotTables>
    <pivotTable tabId="3" name="PivotTable3"/>
    <pivotTable tabId="3" name="PivotTable1"/>
    <pivotTable tabId="3" name="PivotTable2"/>
    <pivotTable tabId="3" name="PivotTable4"/>
  </pivotTables>
  <data>
    <tabular pivotCacheId="124954436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53B6E29-C50E-4C00-8836-E8E689C6F216}" cache="Slicer_Marital_Status" caption="Marital Status" style="SlicerStyleDark3" rowHeight="241300"/>
  <slicer name="Education" xr10:uid="{CB41F62B-48FF-4C9C-937F-4F4C8A47F860}" cache="Slicer_Education" caption="Education" style="SlicerStyleDark3" rowHeight="241300"/>
  <slicer name="Region" xr10:uid="{2A521A49-1696-4D49-893B-CD9AA645DCCD}" cache="Slicer_Region" caption="Region"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1020" workbookViewId="0">
      <selection activeCell="H23" sqref="H23"/>
    </sheetView>
  </sheetViews>
  <sheetFormatPr defaultColWidth="11.85546875" defaultRowHeight="15" x14ac:dyDescent="0.25"/>
  <cols>
    <col min="2" max="2" width="13.28515625" bestFit="1" customWidth="1"/>
    <col min="6" max="6" width="17.7109375" bestFit="1" customWidth="1"/>
    <col min="7" max="7" width="14.140625" bestFit="1" customWidth="1"/>
    <col min="8" max="8" width="12.7109375" bestFit="1" customWidth="1"/>
    <col min="10" max="10" width="18"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FCD78-7E3D-487B-9012-AD101A0D8B7D}">
  <dimension ref="A1:N1001"/>
  <sheetViews>
    <sheetView workbookViewId="0">
      <selection activeCell="M2" sqref="M2"/>
    </sheetView>
  </sheetViews>
  <sheetFormatPr defaultColWidth="11.85546875" defaultRowHeight="15" x14ac:dyDescent="0.25"/>
  <cols>
    <col min="2" max="2" width="15.5703125" bestFit="1" customWidth="1"/>
    <col min="4" max="4" width="11.140625" style="1" bestFit="1" customWidth="1"/>
    <col min="5" max="5" width="10.85546875" bestFit="1" customWidth="1"/>
    <col min="7" max="7" width="14.140625" bestFit="1" customWidth="1"/>
    <col min="8" max="8" width="15" bestFit="1" customWidth="1"/>
    <col min="9" max="9" width="7" bestFit="1" customWidth="1"/>
    <col min="12" max="12" width="6.7109375" bestFit="1" customWidth="1"/>
    <col min="13" max="13" width="16.42578125" bestFit="1" customWidth="1"/>
    <col min="14" max="14" width="16.85546875" bestFit="1" customWidth="1"/>
  </cols>
  <sheetData>
    <row r="1" spans="1:14" x14ac:dyDescent="0.25">
      <c r="A1" t="s">
        <v>0</v>
      </c>
      <c r="B1" t="s">
        <v>1</v>
      </c>
      <c r="C1" t="s">
        <v>2</v>
      </c>
      <c r="D1" s="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IF(L2&gt;54,"Old 55+",IF(L2&gt;=31,"Middle Age 31-54",IF(L2&lt;31, "Adolescent 0-30", "Invalid")))</f>
        <v>Middle Age 31-54</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IF(L3&gt;54,"Old Age",IF(L3&gt;=31,"Middle Age",IF(L3&lt;31, "Adolescent", "Invalid")))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Old Age</v>
      </c>
      <c r="N4" t="s">
        <v>18</v>
      </c>
    </row>
    <row r="5" spans="1:14" x14ac:dyDescent="0.25">
      <c r="A5">
        <v>24381</v>
      </c>
      <c r="B5" t="s">
        <v>37</v>
      </c>
      <c r="C5" t="s">
        <v>39</v>
      </c>
      <c r="D5" s="1">
        <v>70000</v>
      </c>
      <c r="E5">
        <v>0</v>
      </c>
      <c r="F5" t="s">
        <v>13</v>
      </c>
      <c r="G5" t="s">
        <v>21</v>
      </c>
      <c r="H5" t="s">
        <v>15</v>
      </c>
      <c r="I5">
        <v>1</v>
      </c>
      <c r="J5" t="s">
        <v>23</v>
      </c>
      <c r="K5" t="s">
        <v>24</v>
      </c>
      <c r="L5">
        <v>41</v>
      </c>
      <c r="M5" t="str">
        <f t="shared" si="0"/>
        <v>Middle Age</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Middle Age</v>
      </c>
      <c r="N7" t="s">
        <v>18</v>
      </c>
    </row>
    <row r="8" spans="1:14" x14ac:dyDescent="0.25">
      <c r="A8">
        <v>27974</v>
      </c>
      <c r="B8" t="s">
        <v>37</v>
      </c>
      <c r="C8" t="s">
        <v>39</v>
      </c>
      <c r="D8" s="1">
        <v>160000</v>
      </c>
      <c r="E8">
        <v>2</v>
      </c>
      <c r="F8" t="s">
        <v>27</v>
      </c>
      <c r="G8" t="s">
        <v>28</v>
      </c>
      <c r="H8" t="s">
        <v>15</v>
      </c>
      <c r="I8">
        <v>4</v>
      </c>
      <c r="J8" t="s">
        <v>16</v>
      </c>
      <c r="K8" t="s">
        <v>24</v>
      </c>
      <c r="L8">
        <v>33</v>
      </c>
      <c r="M8" t="str">
        <f t="shared" si="0"/>
        <v>Middle Age</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 Age</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1">
        <v>90000</v>
      </c>
      <c r="E13">
        <v>0</v>
      </c>
      <c r="F13" t="s">
        <v>13</v>
      </c>
      <c r="G13" t="s">
        <v>21</v>
      </c>
      <c r="H13" t="s">
        <v>18</v>
      </c>
      <c r="I13">
        <v>4</v>
      </c>
      <c r="J13" t="s">
        <v>30</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 Age</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 Age</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 Age</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1">
        <v>80000</v>
      </c>
      <c r="E23">
        <v>0</v>
      </c>
      <c r="F23" t="s">
        <v>13</v>
      </c>
      <c r="G23" t="s">
        <v>21</v>
      </c>
      <c r="H23" t="s">
        <v>15</v>
      </c>
      <c r="I23">
        <v>4</v>
      </c>
      <c r="J23" t="s">
        <v>30</v>
      </c>
      <c r="K23" t="s">
        <v>24</v>
      </c>
      <c r="L23">
        <v>35</v>
      </c>
      <c r="M23" t="str">
        <f t="shared" si="0"/>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 Age</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 Age</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 Age</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 Age</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 Age</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 Age</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1">
        <v>80000</v>
      </c>
      <c r="E53">
        <v>0</v>
      </c>
      <c r="F53" t="s">
        <v>13</v>
      </c>
      <c r="G53" t="s">
        <v>21</v>
      </c>
      <c r="H53" t="s">
        <v>18</v>
      </c>
      <c r="I53">
        <v>4</v>
      </c>
      <c r="J53" t="s">
        <v>30</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 Age</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 Age</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30</v>
      </c>
      <c r="K57" t="s">
        <v>17</v>
      </c>
      <c r="L57">
        <v>54</v>
      </c>
      <c r="M57" t="str">
        <f t="shared" si="0"/>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 Age</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1">
        <v>60000</v>
      </c>
      <c r="E65">
        <v>4</v>
      </c>
      <c r="F65" t="s">
        <v>13</v>
      </c>
      <c r="G65" t="s">
        <v>21</v>
      </c>
      <c r="H65" t="s">
        <v>15</v>
      </c>
      <c r="I65">
        <v>3</v>
      </c>
      <c r="J65" t="s">
        <v>30</v>
      </c>
      <c r="K65" t="s">
        <v>24</v>
      </c>
      <c r="L65">
        <v>41</v>
      </c>
      <c r="M65" t="str">
        <f t="shared" si="0"/>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IF(L67&gt;54,"Old Age",IF(L67&gt;=31,"Middle Age",IF(L67&lt;31, "Adolescent", "Invalid")))</f>
        <v>Old Age</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1">
        <v>120000</v>
      </c>
      <c r="E72">
        <v>0</v>
      </c>
      <c r="F72" t="s">
        <v>29</v>
      </c>
      <c r="G72" t="s">
        <v>21</v>
      </c>
      <c r="H72" t="s">
        <v>15</v>
      </c>
      <c r="I72">
        <v>4</v>
      </c>
      <c r="J72" t="s">
        <v>30</v>
      </c>
      <c r="K72" t="s">
        <v>24</v>
      </c>
      <c r="L72">
        <v>36</v>
      </c>
      <c r="M72" t="str">
        <f t="shared" si="1"/>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 Age</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1">
        <v>80000</v>
      </c>
      <c r="E79">
        <v>0</v>
      </c>
      <c r="F79" t="s">
        <v>13</v>
      </c>
      <c r="G79" t="s">
        <v>21</v>
      </c>
      <c r="H79" t="s">
        <v>15</v>
      </c>
      <c r="I79">
        <v>2</v>
      </c>
      <c r="J79" t="s">
        <v>30</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 Age</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Old Age</v>
      </c>
      <c r="N96" t="s">
        <v>18</v>
      </c>
    </row>
    <row r="97" spans="1:14" x14ac:dyDescent="0.25">
      <c r="A97">
        <v>17197</v>
      </c>
      <c r="B97" t="s">
        <v>37</v>
      </c>
      <c r="C97" t="s">
        <v>38</v>
      </c>
      <c r="D97" s="1">
        <v>90000</v>
      </c>
      <c r="E97">
        <v>5</v>
      </c>
      <c r="F97" t="s">
        <v>19</v>
      </c>
      <c r="G97" t="s">
        <v>21</v>
      </c>
      <c r="H97" t="s">
        <v>15</v>
      </c>
      <c r="I97">
        <v>2</v>
      </c>
      <c r="J97" t="s">
        <v>30</v>
      </c>
      <c r="K97" t="s">
        <v>17</v>
      </c>
      <c r="L97">
        <v>62</v>
      </c>
      <c r="M97" t="str">
        <f t="shared" si="1"/>
        <v>Old Age</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 Age</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 Age</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1">
        <v>80000</v>
      </c>
      <c r="E124">
        <v>0</v>
      </c>
      <c r="F124" t="s">
        <v>13</v>
      </c>
      <c r="G124" t="s">
        <v>21</v>
      </c>
      <c r="H124" t="s">
        <v>18</v>
      </c>
      <c r="I124">
        <v>3</v>
      </c>
      <c r="J124" t="s">
        <v>30</v>
      </c>
      <c r="K124" t="s">
        <v>24</v>
      </c>
      <c r="L124">
        <v>31</v>
      </c>
      <c r="M124" t="str">
        <f t="shared" si="1"/>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 Age</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IF(L131&gt;54,"Old Age",IF(L131&gt;=31,"Middle Age",IF(L131&lt;31, "Adolescent", "Invalid")))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 Age</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 Age</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 Age</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 Age</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30</v>
      </c>
      <c r="K145" t="s">
        <v>24</v>
      </c>
      <c r="L145">
        <v>32</v>
      </c>
      <c r="M145" t="str">
        <f t="shared" si="2"/>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 Age</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 Age</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30</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 Age</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 Age</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1">
        <v>160000</v>
      </c>
      <c r="E180">
        <v>4</v>
      </c>
      <c r="F180" t="s">
        <v>19</v>
      </c>
      <c r="G180" t="s">
        <v>21</v>
      </c>
      <c r="H180" t="s">
        <v>18</v>
      </c>
      <c r="I180">
        <v>2</v>
      </c>
      <c r="J180" t="s">
        <v>30</v>
      </c>
      <c r="K180" t="s">
        <v>17</v>
      </c>
      <c r="L180">
        <v>55</v>
      </c>
      <c r="M180" t="str">
        <f t="shared" si="2"/>
        <v>Old Age</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 Age</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 Age</v>
      </c>
      <c r="N185" t="s">
        <v>15</v>
      </c>
    </row>
    <row r="186" spans="1:14" x14ac:dyDescent="0.25">
      <c r="A186">
        <v>28918</v>
      </c>
      <c r="B186" t="s">
        <v>36</v>
      </c>
      <c r="C186" t="s">
        <v>38</v>
      </c>
      <c r="D186" s="1">
        <v>130000</v>
      </c>
      <c r="E186">
        <v>4</v>
      </c>
      <c r="F186" t="s">
        <v>27</v>
      </c>
      <c r="G186" t="s">
        <v>28</v>
      </c>
      <c r="H186" t="s">
        <v>18</v>
      </c>
      <c r="I186">
        <v>4</v>
      </c>
      <c r="J186" t="s">
        <v>30</v>
      </c>
      <c r="K186" t="s">
        <v>17</v>
      </c>
      <c r="L186">
        <v>58</v>
      </c>
      <c r="M186" t="str">
        <f t="shared" si="2"/>
        <v>Old Age</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 Age</v>
      </c>
      <c r="N188" t="s">
        <v>15</v>
      </c>
    </row>
    <row r="189" spans="1:14" x14ac:dyDescent="0.25">
      <c r="A189">
        <v>18151</v>
      </c>
      <c r="B189" t="s">
        <v>37</v>
      </c>
      <c r="C189" t="s">
        <v>39</v>
      </c>
      <c r="D189" s="1">
        <v>80000</v>
      </c>
      <c r="E189">
        <v>5</v>
      </c>
      <c r="F189" t="s">
        <v>19</v>
      </c>
      <c r="G189" t="s">
        <v>21</v>
      </c>
      <c r="H189" t="s">
        <v>18</v>
      </c>
      <c r="I189">
        <v>2</v>
      </c>
      <c r="J189" t="s">
        <v>30</v>
      </c>
      <c r="K189" t="s">
        <v>17</v>
      </c>
      <c r="L189">
        <v>59</v>
      </c>
      <c r="M189" t="str">
        <f t="shared" si="2"/>
        <v>Old Age</v>
      </c>
      <c r="N189" t="s">
        <v>18</v>
      </c>
    </row>
    <row r="190" spans="1:14" x14ac:dyDescent="0.25">
      <c r="A190">
        <v>20606</v>
      </c>
      <c r="B190" t="s">
        <v>36</v>
      </c>
      <c r="C190" t="s">
        <v>38</v>
      </c>
      <c r="D190" s="1">
        <v>70000</v>
      </c>
      <c r="E190">
        <v>0</v>
      </c>
      <c r="F190" t="s">
        <v>13</v>
      </c>
      <c r="G190" t="s">
        <v>21</v>
      </c>
      <c r="H190" t="s">
        <v>15</v>
      </c>
      <c r="I190">
        <v>4</v>
      </c>
      <c r="J190" t="s">
        <v>30</v>
      </c>
      <c r="K190" t="s">
        <v>24</v>
      </c>
      <c r="L190">
        <v>32</v>
      </c>
      <c r="M190" t="str">
        <f t="shared" si="2"/>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 Age</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1">
        <v>80000</v>
      </c>
      <c r="E194">
        <v>5</v>
      </c>
      <c r="F194" t="s">
        <v>13</v>
      </c>
      <c r="G194" t="s">
        <v>28</v>
      </c>
      <c r="H194" t="s">
        <v>15</v>
      </c>
      <c r="I194">
        <v>2</v>
      </c>
      <c r="J194" t="s">
        <v>30</v>
      </c>
      <c r="K194" t="s">
        <v>17</v>
      </c>
      <c r="L194">
        <v>62</v>
      </c>
      <c r="M194" t="str">
        <f t="shared" si="2"/>
        <v>Old Age</v>
      </c>
      <c r="N194" t="s">
        <v>18</v>
      </c>
    </row>
    <row r="195" spans="1:14" x14ac:dyDescent="0.25">
      <c r="A195">
        <v>26032</v>
      </c>
      <c r="B195" t="s">
        <v>36</v>
      </c>
      <c r="C195" t="s">
        <v>38</v>
      </c>
      <c r="D195" s="1">
        <v>70000</v>
      </c>
      <c r="E195">
        <v>5</v>
      </c>
      <c r="F195" t="s">
        <v>13</v>
      </c>
      <c r="G195" t="s">
        <v>21</v>
      </c>
      <c r="H195" t="s">
        <v>15</v>
      </c>
      <c r="I195">
        <v>4</v>
      </c>
      <c r="J195" t="s">
        <v>30</v>
      </c>
      <c r="K195" t="s">
        <v>24</v>
      </c>
      <c r="L195">
        <v>41</v>
      </c>
      <c r="M195" t="str">
        <f t="shared" ref="M195:M258" si="3">IF(L195&gt;54,"Old Age",IF(L195&gt;=31,"Middle Age",IF(L195&lt;31, "Adolescent", "Invalid")))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 Age</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30</v>
      </c>
      <c r="K201" t="s">
        <v>24</v>
      </c>
      <c r="L201">
        <v>33</v>
      </c>
      <c r="M201" t="str">
        <f t="shared" si="3"/>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30</v>
      </c>
      <c r="K208" t="s">
        <v>17</v>
      </c>
      <c r="L208">
        <v>62</v>
      </c>
      <c r="M208" t="str">
        <f t="shared" si="3"/>
        <v>Old Age</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1">
        <v>70000</v>
      </c>
      <c r="E215">
        <v>0</v>
      </c>
      <c r="F215" t="s">
        <v>13</v>
      </c>
      <c r="G215" t="s">
        <v>21</v>
      </c>
      <c r="H215" t="s">
        <v>18</v>
      </c>
      <c r="I215">
        <v>4</v>
      </c>
      <c r="J215" t="s">
        <v>30</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 Age</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1">
        <v>70000</v>
      </c>
      <c r="E225">
        <v>5</v>
      </c>
      <c r="F225" t="s">
        <v>13</v>
      </c>
      <c r="G225" t="s">
        <v>21</v>
      </c>
      <c r="H225" t="s">
        <v>15</v>
      </c>
      <c r="I225">
        <v>4</v>
      </c>
      <c r="J225" t="s">
        <v>30</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 Age</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1">
        <v>80000</v>
      </c>
      <c r="E231">
        <v>5</v>
      </c>
      <c r="F231" t="s">
        <v>27</v>
      </c>
      <c r="G231" t="s">
        <v>28</v>
      </c>
      <c r="H231" t="s">
        <v>15</v>
      </c>
      <c r="I231">
        <v>3</v>
      </c>
      <c r="J231" t="s">
        <v>30</v>
      </c>
      <c r="K231" t="s">
        <v>17</v>
      </c>
      <c r="L231">
        <v>57</v>
      </c>
      <c r="M231" t="str">
        <f t="shared" si="3"/>
        <v>Old Age</v>
      </c>
      <c r="N231" t="s">
        <v>18</v>
      </c>
    </row>
    <row r="232" spans="1:14" x14ac:dyDescent="0.25">
      <c r="A232">
        <v>22830</v>
      </c>
      <c r="B232" t="s">
        <v>36</v>
      </c>
      <c r="C232" t="s">
        <v>39</v>
      </c>
      <c r="D232" s="1">
        <v>120000</v>
      </c>
      <c r="E232">
        <v>4</v>
      </c>
      <c r="F232" t="s">
        <v>19</v>
      </c>
      <c r="G232" t="s">
        <v>28</v>
      </c>
      <c r="H232" t="s">
        <v>15</v>
      </c>
      <c r="I232">
        <v>3</v>
      </c>
      <c r="J232" t="s">
        <v>30</v>
      </c>
      <c r="K232" t="s">
        <v>17</v>
      </c>
      <c r="L232">
        <v>56</v>
      </c>
      <c r="M232" t="str">
        <f t="shared" si="3"/>
        <v>Old Age</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1">
        <v>90000</v>
      </c>
      <c r="E236">
        <v>0</v>
      </c>
      <c r="F236" t="s">
        <v>13</v>
      </c>
      <c r="G236" t="s">
        <v>21</v>
      </c>
      <c r="H236" t="s">
        <v>18</v>
      </c>
      <c r="I236">
        <v>4</v>
      </c>
      <c r="J236" t="s">
        <v>30</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 Age</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1">
        <v>120000</v>
      </c>
      <c r="E246">
        <v>3</v>
      </c>
      <c r="F246" t="s">
        <v>13</v>
      </c>
      <c r="G246" t="s">
        <v>28</v>
      </c>
      <c r="H246" t="s">
        <v>18</v>
      </c>
      <c r="I246">
        <v>2</v>
      </c>
      <c r="J246" t="s">
        <v>30</v>
      </c>
      <c r="K246" t="s">
        <v>17</v>
      </c>
      <c r="L246">
        <v>52</v>
      </c>
      <c r="M246" t="str">
        <f t="shared" si="3"/>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1">
        <v>100000</v>
      </c>
      <c r="E249">
        <v>0</v>
      </c>
      <c r="F249" t="s">
        <v>27</v>
      </c>
      <c r="G249" t="s">
        <v>28</v>
      </c>
      <c r="H249" t="s">
        <v>15</v>
      </c>
      <c r="I249">
        <v>4</v>
      </c>
      <c r="J249" t="s">
        <v>30</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 Age</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 Age</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 Age</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30</v>
      </c>
      <c r="K255" t="s">
        <v>17</v>
      </c>
      <c r="L255">
        <v>59</v>
      </c>
      <c r="M255" t="str">
        <f t="shared" si="3"/>
        <v>Old Age</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 Age</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IF(L259&gt;54,"Old Age",IF(L259&gt;=31,"Middle Age",IF(L259&lt;31, "Adolescent", "Invalid")))</f>
        <v>Middle Age</v>
      </c>
      <c r="N259" t="s">
        <v>15</v>
      </c>
    </row>
    <row r="260" spans="1:14" x14ac:dyDescent="0.25">
      <c r="A260">
        <v>14193</v>
      </c>
      <c r="B260" t="s">
        <v>37</v>
      </c>
      <c r="C260" t="s">
        <v>38</v>
      </c>
      <c r="D260" s="1">
        <v>100000</v>
      </c>
      <c r="E260">
        <v>3</v>
      </c>
      <c r="F260" t="s">
        <v>19</v>
      </c>
      <c r="G260" t="s">
        <v>28</v>
      </c>
      <c r="H260" t="s">
        <v>15</v>
      </c>
      <c r="I260">
        <v>4</v>
      </c>
      <c r="J260" t="s">
        <v>30</v>
      </c>
      <c r="K260" t="s">
        <v>17</v>
      </c>
      <c r="L260">
        <v>56</v>
      </c>
      <c r="M260" t="str">
        <f t="shared" si="4"/>
        <v>Old Age</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1">
        <v>70000</v>
      </c>
      <c r="E265">
        <v>5</v>
      </c>
      <c r="F265" t="s">
        <v>13</v>
      </c>
      <c r="G265" t="s">
        <v>21</v>
      </c>
      <c r="H265" t="s">
        <v>15</v>
      </c>
      <c r="I265">
        <v>3</v>
      </c>
      <c r="J265" t="s">
        <v>30</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30</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1">
        <v>110000</v>
      </c>
      <c r="E297">
        <v>0</v>
      </c>
      <c r="F297" t="s">
        <v>19</v>
      </c>
      <c r="G297" t="s">
        <v>28</v>
      </c>
      <c r="H297" t="s">
        <v>15</v>
      </c>
      <c r="I297">
        <v>3</v>
      </c>
      <c r="J297" t="s">
        <v>30</v>
      </c>
      <c r="K297" t="s">
        <v>24</v>
      </c>
      <c r="L297">
        <v>32</v>
      </c>
      <c r="M297" t="str">
        <f t="shared" si="4"/>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 Age</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 Age</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 Age</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 Age</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 Age</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 Age</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 Age</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30</v>
      </c>
      <c r="K320" t="s">
        <v>17</v>
      </c>
      <c r="L320">
        <v>54</v>
      </c>
      <c r="M320" t="str">
        <f t="shared" si="4"/>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IF(L323&gt;54,"Old Age",IF(L323&gt;=31,"Middle Age",IF(L323&lt;31, "Adolescent", "Invalid")))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30</v>
      </c>
      <c r="K331" t="s">
        <v>17</v>
      </c>
      <c r="L331">
        <v>59</v>
      </c>
      <c r="M331" t="str">
        <f t="shared" si="5"/>
        <v>Old Age</v>
      </c>
      <c r="N331" t="s">
        <v>18</v>
      </c>
    </row>
    <row r="332" spans="1:14" x14ac:dyDescent="0.25">
      <c r="A332">
        <v>24898</v>
      </c>
      <c r="B332" t="s">
        <v>37</v>
      </c>
      <c r="C332" t="s">
        <v>38</v>
      </c>
      <c r="D332" s="1">
        <v>80000</v>
      </c>
      <c r="E332">
        <v>0</v>
      </c>
      <c r="F332" t="s">
        <v>13</v>
      </c>
      <c r="G332" t="s">
        <v>21</v>
      </c>
      <c r="H332" t="s">
        <v>15</v>
      </c>
      <c r="I332">
        <v>3</v>
      </c>
      <c r="J332" t="s">
        <v>30</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 Age</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30</v>
      </c>
      <c r="K357" t="s">
        <v>24</v>
      </c>
      <c r="L357">
        <v>32</v>
      </c>
      <c r="M357" t="str">
        <f t="shared" si="5"/>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 Age</v>
      </c>
      <c r="N360" t="s">
        <v>15</v>
      </c>
    </row>
    <row r="361" spans="1:14" x14ac:dyDescent="0.25">
      <c r="A361">
        <v>17230</v>
      </c>
      <c r="B361" t="s">
        <v>36</v>
      </c>
      <c r="C361" t="s">
        <v>39</v>
      </c>
      <c r="D361" s="1">
        <v>80000</v>
      </c>
      <c r="E361">
        <v>0</v>
      </c>
      <c r="F361" t="s">
        <v>13</v>
      </c>
      <c r="G361" t="s">
        <v>21</v>
      </c>
      <c r="H361" t="s">
        <v>15</v>
      </c>
      <c r="I361">
        <v>3</v>
      </c>
      <c r="J361" t="s">
        <v>30</v>
      </c>
      <c r="K361" t="s">
        <v>24</v>
      </c>
      <c r="L361">
        <v>30</v>
      </c>
      <c r="M361" t="str">
        <f t="shared" si="5"/>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 Age</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 Age</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1">
        <v>100000</v>
      </c>
      <c r="E372">
        <v>4</v>
      </c>
      <c r="F372" t="s">
        <v>13</v>
      </c>
      <c r="G372" t="s">
        <v>21</v>
      </c>
      <c r="H372" t="s">
        <v>15</v>
      </c>
      <c r="I372">
        <v>1</v>
      </c>
      <c r="J372" t="s">
        <v>30</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 Age</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 Age</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 Age</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30</v>
      </c>
      <c r="K382" t="s">
        <v>24</v>
      </c>
      <c r="L382">
        <v>30</v>
      </c>
      <c r="M382" t="str">
        <f t="shared" si="5"/>
        <v>Adolescent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 Age</v>
      </c>
      <c r="N383" t="s">
        <v>18</v>
      </c>
    </row>
    <row r="384" spans="1:14" x14ac:dyDescent="0.25">
      <c r="A384">
        <v>13586</v>
      </c>
      <c r="B384" t="s">
        <v>36</v>
      </c>
      <c r="C384" t="s">
        <v>39</v>
      </c>
      <c r="D384" s="1">
        <v>80000</v>
      </c>
      <c r="E384">
        <v>4</v>
      </c>
      <c r="F384" t="s">
        <v>19</v>
      </c>
      <c r="G384" t="s">
        <v>21</v>
      </c>
      <c r="H384" t="s">
        <v>15</v>
      </c>
      <c r="I384">
        <v>2</v>
      </c>
      <c r="J384" t="s">
        <v>30</v>
      </c>
      <c r="K384" t="s">
        <v>17</v>
      </c>
      <c r="L384">
        <v>53</v>
      </c>
      <c r="M384" t="str">
        <f t="shared" si="5"/>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IF(L387&gt;54,"Old Age",IF(L387&gt;=31,"Middle Age",IF(L387&lt;31, "Adolescent", "Invalid")))</f>
        <v>Middle Age</v>
      </c>
      <c r="N387" t="s">
        <v>18</v>
      </c>
    </row>
    <row r="388" spans="1:14" x14ac:dyDescent="0.25">
      <c r="A388">
        <v>28957</v>
      </c>
      <c r="B388" t="s">
        <v>37</v>
      </c>
      <c r="C388" t="s">
        <v>38</v>
      </c>
      <c r="D388" s="1">
        <v>120000</v>
      </c>
      <c r="E388">
        <v>0</v>
      </c>
      <c r="F388" t="s">
        <v>29</v>
      </c>
      <c r="G388" t="s">
        <v>21</v>
      </c>
      <c r="H388" t="s">
        <v>15</v>
      </c>
      <c r="I388">
        <v>4</v>
      </c>
      <c r="J388" t="s">
        <v>30</v>
      </c>
      <c r="K388" t="s">
        <v>24</v>
      </c>
      <c r="L388">
        <v>34</v>
      </c>
      <c r="M388" t="str">
        <f t="shared" si="6"/>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 Age</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 Age</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1">
        <v>110000</v>
      </c>
      <c r="E402">
        <v>3</v>
      </c>
      <c r="F402" t="s">
        <v>13</v>
      </c>
      <c r="G402" t="s">
        <v>28</v>
      </c>
      <c r="H402" t="s">
        <v>15</v>
      </c>
      <c r="I402">
        <v>4</v>
      </c>
      <c r="J402" t="s">
        <v>30</v>
      </c>
      <c r="K402" t="s">
        <v>17</v>
      </c>
      <c r="L402">
        <v>53</v>
      </c>
      <c r="M402" t="str">
        <f t="shared" si="6"/>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 Age</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 Age</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 Age</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1">
        <v>100000</v>
      </c>
      <c r="E422">
        <v>2</v>
      </c>
      <c r="F422" t="s">
        <v>13</v>
      </c>
      <c r="G422" t="s">
        <v>28</v>
      </c>
      <c r="H422" t="s">
        <v>15</v>
      </c>
      <c r="I422">
        <v>4</v>
      </c>
      <c r="J422" t="s">
        <v>30</v>
      </c>
      <c r="K422" t="s">
        <v>17</v>
      </c>
      <c r="L422">
        <v>59</v>
      </c>
      <c r="M422" t="str">
        <f t="shared" si="6"/>
        <v>Old Age</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1">
        <v>110000</v>
      </c>
      <c r="E424">
        <v>0</v>
      </c>
      <c r="F424" t="s">
        <v>19</v>
      </c>
      <c r="G424" t="s">
        <v>28</v>
      </c>
      <c r="H424" t="s">
        <v>18</v>
      </c>
      <c r="I424">
        <v>3</v>
      </c>
      <c r="J424" t="s">
        <v>30</v>
      </c>
      <c r="K424" t="s">
        <v>24</v>
      </c>
      <c r="L424">
        <v>32</v>
      </c>
      <c r="M424" t="str">
        <f t="shared" si="6"/>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 Age</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Old Age</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1">
        <v>110000</v>
      </c>
      <c r="E434">
        <v>0</v>
      </c>
      <c r="F434" t="s">
        <v>27</v>
      </c>
      <c r="G434" t="s">
        <v>28</v>
      </c>
      <c r="H434" t="s">
        <v>15</v>
      </c>
      <c r="I434">
        <v>3</v>
      </c>
      <c r="J434" t="s">
        <v>30</v>
      </c>
      <c r="K434" t="s">
        <v>24</v>
      </c>
      <c r="L434">
        <v>34</v>
      </c>
      <c r="M434" t="str">
        <f t="shared" si="6"/>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 Age</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1">
        <v>90000</v>
      </c>
      <c r="E442">
        <v>0</v>
      </c>
      <c r="F442" t="s">
        <v>13</v>
      </c>
      <c r="G442" t="s">
        <v>21</v>
      </c>
      <c r="H442" t="s">
        <v>18</v>
      </c>
      <c r="I442">
        <v>3</v>
      </c>
      <c r="J442" t="s">
        <v>30</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30</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IF(L451&gt;54,"Old Age",IF(L451&gt;=31,"Middle Age",IF(L451&lt;31, "Adolescent", "Invalid")))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 Age</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 Age</v>
      </c>
      <c r="N459" t="s">
        <v>18</v>
      </c>
    </row>
    <row r="460" spans="1:14" x14ac:dyDescent="0.25">
      <c r="A460">
        <v>21560</v>
      </c>
      <c r="B460" t="s">
        <v>36</v>
      </c>
      <c r="C460" t="s">
        <v>39</v>
      </c>
      <c r="D460" s="1">
        <v>120000</v>
      </c>
      <c r="E460">
        <v>0</v>
      </c>
      <c r="F460" t="s">
        <v>29</v>
      </c>
      <c r="G460" t="s">
        <v>21</v>
      </c>
      <c r="H460" t="s">
        <v>15</v>
      </c>
      <c r="I460">
        <v>4</v>
      </c>
      <c r="J460" t="s">
        <v>30</v>
      </c>
      <c r="K460" t="s">
        <v>24</v>
      </c>
      <c r="L460">
        <v>32</v>
      </c>
      <c r="M460" t="str">
        <f t="shared" si="7"/>
        <v>Middle Age</v>
      </c>
      <c r="N460" t="s">
        <v>15</v>
      </c>
    </row>
    <row r="461" spans="1:14" x14ac:dyDescent="0.25">
      <c r="A461">
        <v>21554</v>
      </c>
      <c r="B461" t="s">
        <v>37</v>
      </c>
      <c r="C461" t="s">
        <v>38</v>
      </c>
      <c r="D461" s="1">
        <v>80000</v>
      </c>
      <c r="E461">
        <v>0</v>
      </c>
      <c r="F461" t="s">
        <v>13</v>
      </c>
      <c r="G461" t="s">
        <v>21</v>
      </c>
      <c r="H461" t="s">
        <v>18</v>
      </c>
      <c r="I461">
        <v>3</v>
      </c>
      <c r="J461" t="s">
        <v>30</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 Age</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 Age</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 Age</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 Age</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30</v>
      </c>
      <c r="K488" t="s">
        <v>17</v>
      </c>
      <c r="L488">
        <v>58</v>
      </c>
      <c r="M488" t="str">
        <f t="shared" si="7"/>
        <v>Old Age</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30</v>
      </c>
      <c r="K495" t="s">
        <v>32</v>
      </c>
      <c r="L495">
        <v>60</v>
      </c>
      <c r="M495" t="str">
        <f t="shared" si="7"/>
        <v>Old Age</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1">
        <v>60000</v>
      </c>
      <c r="E497">
        <v>2</v>
      </c>
      <c r="F497" t="s">
        <v>19</v>
      </c>
      <c r="G497" t="s">
        <v>21</v>
      </c>
      <c r="H497" t="s">
        <v>15</v>
      </c>
      <c r="I497">
        <v>2</v>
      </c>
      <c r="J497" t="s">
        <v>30</v>
      </c>
      <c r="K497" t="s">
        <v>32</v>
      </c>
      <c r="L497">
        <v>56</v>
      </c>
      <c r="M497" t="str">
        <f t="shared" si="7"/>
        <v>Old Age</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 Age</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1">
        <v>60000</v>
      </c>
      <c r="E515">
        <v>4</v>
      </c>
      <c r="F515" t="s">
        <v>31</v>
      </c>
      <c r="G515" t="s">
        <v>28</v>
      </c>
      <c r="H515" t="s">
        <v>15</v>
      </c>
      <c r="I515">
        <v>2</v>
      </c>
      <c r="J515" t="s">
        <v>30</v>
      </c>
      <c r="K515" t="s">
        <v>32</v>
      </c>
      <c r="L515">
        <v>61</v>
      </c>
      <c r="M515" t="str">
        <f t="shared" ref="M515:M578" si="8">IF(L515&gt;54,"Old Age",IF(L515&gt;=31,"Middle Age",IF(L515&lt;31, "Adolescent", "Invalid")))</f>
        <v>Old Age</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 Age</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1">
        <v>40000</v>
      </c>
      <c r="E523">
        <v>4</v>
      </c>
      <c r="F523" t="s">
        <v>27</v>
      </c>
      <c r="G523" t="s">
        <v>21</v>
      </c>
      <c r="H523" t="s">
        <v>15</v>
      </c>
      <c r="I523">
        <v>2</v>
      </c>
      <c r="J523" t="s">
        <v>30</v>
      </c>
      <c r="K523" t="s">
        <v>32</v>
      </c>
      <c r="L523">
        <v>62</v>
      </c>
      <c r="M523" t="str">
        <f t="shared" si="8"/>
        <v>Old Age</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 Age</v>
      </c>
      <c r="N526" t="s">
        <v>18</v>
      </c>
    </row>
    <row r="527" spans="1:14" x14ac:dyDescent="0.25">
      <c r="A527">
        <v>16791</v>
      </c>
      <c r="B527" t="s">
        <v>37</v>
      </c>
      <c r="C527" t="s">
        <v>39</v>
      </c>
      <c r="D527" s="1">
        <v>60000</v>
      </c>
      <c r="E527">
        <v>5</v>
      </c>
      <c r="F527" t="s">
        <v>13</v>
      </c>
      <c r="G527" t="s">
        <v>28</v>
      </c>
      <c r="H527" t="s">
        <v>15</v>
      </c>
      <c r="I527">
        <v>3</v>
      </c>
      <c r="J527" t="s">
        <v>30</v>
      </c>
      <c r="K527" t="s">
        <v>32</v>
      </c>
      <c r="L527">
        <v>59</v>
      </c>
      <c r="M527" t="str">
        <f t="shared" si="8"/>
        <v>Old Age</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1">
        <v>60000</v>
      </c>
      <c r="E531">
        <v>2</v>
      </c>
      <c r="F531" t="s">
        <v>19</v>
      </c>
      <c r="G531" t="s">
        <v>21</v>
      </c>
      <c r="H531" t="s">
        <v>15</v>
      </c>
      <c r="I531">
        <v>1</v>
      </c>
      <c r="J531" t="s">
        <v>30</v>
      </c>
      <c r="K531" t="s">
        <v>32</v>
      </c>
      <c r="L531">
        <v>57</v>
      </c>
      <c r="M531" t="str">
        <f t="shared" si="8"/>
        <v>Old Age</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1">
        <v>60000</v>
      </c>
      <c r="E535">
        <v>3</v>
      </c>
      <c r="F535" t="s">
        <v>13</v>
      </c>
      <c r="G535" t="s">
        <v>28</v>
      </c>
      <c r="H535" t="s">
        <v>15</v>
      </c>
      <c r="I535">
        <v>2</v>
      </c>
      <c r="J535" t="s">
        <v>30</v>
      </c>
      <c r="K535" t="s">
        <v>32</v>
      </c>
      <c r="L535">
        <v>66</v>
      </c>
      <c r="M535" t="str">
        <f t="shared" si="8"/>
        <v>Old Age</v>
      </c>
      <c r="N535" t="s">
        <v>18</v>
      </c>
    </row>
    <row r="536" spans="1:14" x14ac:dyDescent="0.25">
      <c r="A536">
        <v>24637</v>
      </c>
      <c r="B536" t="s">
        <v>36</v>
      </c>
      <c r="C536" t="s">
        <v>39</v>
      </c>
      <c r="D536" s="1">
        <v>40000</v>
      </c>
      <c r="E536">
        <v>4</v>
      </c>
      <c r="F536" t="s">
        <v>27</v>
      </c>
      <c r="G536" t="s">
        <v>21</v>
      </c>
      <c r="H536" t="s">
        <v>15</v>
      </c>
      <c r="I536">
        <v>2</v>
      </c>
      <c r="J536" t="s">
        <v>30</v>
      </c>
      <c r="K536" t="s">
        <v>32</v>
      </c>
      <c r="L536">
        <v>64</v>
      </c>
      <c r="M536" t="str">
        <f t="shared" si="8"/>
        <v>Old Age</v>
      </c>
      <c r="N536" t="s">
        <v>18</v>
      </c>
    </row>
    <row r="537" spans="1:14" x14ac:dyDescent="0.25">
      <c r="A537">
        <v>23893</v>
      </c>
      <c r="B537" t="s">
        <v>36</v>
      </c>
      <c r="C537" t="s">
        <v>39</v>
      </c>
      <c r="D537" s="1">
        <v>50000</v>
      </c>
      <c r="E537">
        <v>3</v>
      </c>
      <c r="F537" t="s">
        <v>13</v>
      </c>
      <c r="G537" t="s">
        <v>14</v>
      </c>
      <c r="H537" t="s">
        <v>15</v>
      </c>
      <c r="I537">
        <v>3</v>
      </c>
      <c r="J537" t="s">
        <v>30</v>
      </c>
      <c r="K537" t="s">
        <v>32</v>
      </c>
      <c r="L537">
        <v>41</v>
      </c>
      <c r="M537" t="str">
        <f t="shared" si="8"/>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 Age</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1">
        <v>50000</v>
      </c>
      <c r="E553">
        <v>4</v>
      </c>
      <c r="F553" t="s">
        <v>13</v>
      </c>
      <c r="G553" t="s">
        <v>28</v>
      </c>
      <c r="H553" t="s">
        <v>15</v>
      </c>
      <c r="I553">
        <v>2</v>
      </c>
      <c r="J553" t="s">
        <v>30</v>
      </c>
      <c r="K553" t="s">
        <v>32</v>
      </c>
      <c r="L553">
        <v>63</v>
      </c>
      <c r="M553" t="str">
        <f t="shared" si="8"/>
        <v>Old Age</v>
      </c>
      <c r="N553" t="s">
        <v>18</v>
      </c>
    </row>
    <row r="554" spans="1:14" x14ac:dyDescent="0.25">
      <c r="A554">
        <v>14417</v>
      </c>
      <c r="B554" t="s">
        <v>37</v>
      </c>
      <c r="C554" t="s">
        <v>39</v>
      </c>
      <c r="D554" s="1">
        <v>60000</v>
      </c>
      <c r="E554">
        <v>3</v>
      </c>
      <c r="F554" t="s">
        <v>27</v>
      </c>
      <c r="G554" t="s">
        <v>21</v>
      </c>
      <c r="H554" t="s">
        <v>15</v>
      </c>
      <c r="I554">
        <v>2</v>
      </c>
      <c r="J554" t="s">
        <v>30</v>
      </c>
      <c r="K554" t="s">
        <v>32</v>
      </c>
      <c r="L554">
        <v>54</v>
      </c>
      <c r="M554" t="str">
        <f t="shared" si="8"/>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 Age</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1">
        <v>60000</v>
      </c>
      <c r="E561">
        <v>2</v>
      </c>
      <c r="F561" t="s">
        <v>13</v>
      </c>
      <c r="G561" t="s">
        <v>28</v>
      </c>
      <c r="H561" t="s">
        <v>15</v>
      </c>
      <c r="I561">
        <v>0</v>
      </c>
      <c r="J561" t="s">
        <v>30</v>
      </c>
      <c r="K561" t="s">
        <v>32</v>
      </c>
      <c r="L561">
        <v>58</v>
      </c>
      <c r="M561" t="str">
        <f t="shared" si="8"/>
        <v>Old Age</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 Age</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1">
        <v>50000</v>
      </c>
      <c r="E571">
        <v>3</v>
      </c>
      <c r="F571" t="s">
        <v>31</v>
      </c>
      <c r="G571" t="s">
        <v>28</v>
      </c>
      <c r="H571" t="s">
        <v>15</v>
      </c>
      <c r="I571">
        <v>2</v>
      </c>
      <c r="J571" t="s">
        <v>30</v>
      </c>
      <c r="K571" t="s">
        <v>32</v>
      </c>
      <c r="L571">
        <v>69</v>
      </c>
      <c r="M571" t="str">
        <f t="shared" si="8"/>
        <v>Old Age</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 Age</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 Age</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30</v>
      </c>
      <c r="K577" t="s">
        <v>32</v>
      </c>
      <c r="L577">
        <v>56</v>
      </c>
      <c r="M577" t="str">
        <f t="shared" si="8"/>
        <v>Old Age</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IF(L579&gt;54,"Old Age",IF(L579&gt;=31,"Middle Age",IF(L579&lt;31, "Adolescent", "Invalid")))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 Age</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30</v>
      </c>
      <c r="K582" t="s">
        <v>32</v>
      </c>
      <c r="L582">
        <v>69</v>
      </c>
      <c r="M582" t="str">
        <f t="shared" si="9"/>
        <v>Old Age</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1">
        <v>60000</v>
      </c>
      <c r="E585">
        <v>3</v>
      </c>
      <c r="F585" t="s">
        <v>13</v>
      </c>
      <c r="G585" t="s">
        <v>28</v>
      </c>
      <c r="H585" t="s">
        <v>15</v>
      </c>
      <c r="I585">
        <v>2</v>
      </c>
      <c r="J585" t="s">
        <v>30</v>
      </c>
      <c r="K585" t="s">
        <v>32</v>
      </c>
      <c r="L585">
        <v>66</v>
      </c>
      <c r="M585" t="str">
        <f t="shared" si="9"/>
        <v>Old Age</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30</v>
      </c>
      <c r="K590" t="s">
        <v>32</v>
      </c>
      <c r="L590">
        <v>51</v>
      </c>
      <c r="M590" t="str">
        <f t="shared" si="9"/>
        <v>Middle Age</v>
      </c>
      <c r="N590" t="s">
        <v>15</v>
      </c>
    </row>
    <row r="591" spans="1:14" x14ac:dyDescent="0.25">
      <c r="A591">
        <v>12100</v>
      </c>
      <c r="B591" t="s">
        <v>37</v>
      </c>
      <c r="C591" t="s">
        <v>39</v>
      </c>
      <c r="D591" s="1">
        <v>60000</v>
      </c>
      <c r="E591">
        <v>2</v>
      </c>
      <c r="F591" t="s">
        <v>13</v>
      </c>
      <c r="G591" t="s">
        <v>28</v>
      </c>
      <c r="H591" t="s">
        <v>15</v>
      </c>
      <c r="I591">
        <v>0</v>
      </c>
      <c r="J591" t="s">
        <v>30</v>
      </c>
      <c r="K591" t="s">
        <v>32</v>
      </c>
      <c r="L591">
        <v>57</v>
      </c>
      <c r="M591" t="str">
        <f t="shared" si="9"/>
        <v>Old Age</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30</v>
      </c>
      <c r="K593" t="s">
        <v>32</v>
      </c>
      <c r="L593">
        <v>61</v>
      </c>
      <c r="M593" t="str">
        <f t="shared" si="9"/>
        <v>Old Age</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 Age</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 Age</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 Age</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 Age</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1">
        <v>70000</v>
      </c>
      <c r="E609">
        <v>5</v>
      </c>
      <c r="F609" t="s">
        <v>31</v>
      </c>
      <c r="G609" t="s">
        <v>21</v>
      </c>
      <c r="H609" t="s">
        <v>15</v>
      </c>
      <c r="I609">
        <v>3</v>
      </c>
      <c r="J609" t="s">
        <v>30</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 Age</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 Age</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 Age</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 Age</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 Age</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 Age</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 Age</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 Age</v>
      </c>
      <c r="N642" t="s">
        <v>15</v>
      </c>
    </row>
    <row r="643" spans="1:14" x14ac:dyDescent="0.25">
      <c r="A643">
        <v>21441</v>
      </c>
      <c r="B643" t="s">
        <v>36</v>
      </c>
      <c r="C643" t="s">
        <v>39</v>
      </c>
      <c r="D643" s="1">
        <v>50000</v>
      </c>
      <c r="E643">
        <v>4</v>
      </c>
      <c r="F643" t="s">
        <v>13</v>
      </c>
      <c r="G643" t="s">
        <v>28</v>
      </c>
      <c r="H643" t="s">
        <v>15</v>
      </c>
      <c r="I643">
        <v>2</v>
      </c>
      <c r="J643" t="s">
        <v>30</v>
      </c>
      <c r="K643" t="s">
        <v>32</v>
      </c>
      <c r="L643">
        <v>64</v>
      </c>
      <c r="M643" t="str">
        <f t="shared" ref="M643:M706" si="10">IF(L643&gt;54,"Old Age",IF(L643&gt;=31,"Middle Age",IF(L643&lt;31, "Adolescent", "Invalid")))</f>
        <v>Old Age</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30</v>
      </c>
      <c r="K646" t="s">
        <v>32</v>
      </c>
      <c r="L646">
        <v>41</v>
      </c>
      <c r="M646" t="str">
        <f t="shared" si="10"/>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 Age</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1">
        <v>70000</v>
      </c>
      <c r="E652">
        <v>5</v>
      </c>
      <c r="F652" t="s">
        <v>31</v>
      </c>
      <c r="G652" t="s">
        <v>28</v>
      </c>
      <c r="H652" t="s">
        <v>15</v>
      </c>
      <c r="I652">
        <v>2</v>
      </c>
      <c r="J652" t="s">
        <v>30</v>
      </c>
      <c r="K652" t="s">
        <v>32</v>
      </c>
      <c r="L652">
        <v>67</v>
      </c>
      <c r="M652" t="str">
        <f t="shared" si="10"/>
        <v>Old Age</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1">
        <v>60000</v>
      </c>
      <c r="E661">
        <v>4</v>
      </c>
      <c r="F661" t="s">
        <v>13</v>
      </c>
      <c r="G661" t="s">
        <v>28</v>
      </c>
      <c r="H661" t="s">
        <v>15</v>
      </c>
      <c r="I661">
        <v>2</v>
      </c>
      <c r="J661" t="s">
        <v>30</v>
      </c>
      <c r="K661" t="s">
        <v>32</v>
      </c>
      <c r="L661">
        <v>63</v>
      </c>
      <c r="M661" t="str">
        <f t="shared" si="10"/>
        <v>Old Age</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1">
        <v>40000</v>
      </c>
      <c r="E669">
        <v>5</v>
      </c>
      <c r="F669" t="s">
        <v>27</v>
      </c>
      <c r="G669" t="s">
        <v>21</v>
      </c>
      <c r="H669" t="s">
        <v>18</v>
      </c>
      <c r="I669">
        <v>2</v>
      </c>
      <c r="J669" t="s">
        <v>30</v>
      </c>
      <c r="K669" t="s">
        <v>32</v>
      </c>
      <c r="L669">
        <v>61</v>
      </c>
      <c r="M669" t="str">
        <f t="shared" si="10"/>
        <v>Old Age</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1">
        <v>70000</v>
      </c>
      <c r="E672">
        <v>2</v>
      </c>
      <c r="F672" t="s">
        <v>19</v>
      </c>
      <c r="G672" t="s">
        <v>21</v>
      </c>
      <c r="H672" t="s">
        <v>15</v>
      </c>
      <c r="I672">
        <v>1</v>
      </c>
      <c r="J672" t="s">
        <v>30</v>
      </c>
      <c r="K672" t="s">
        <v>32</v>
      </c>
      <c r="L672">
        <v>59</v>
      </c>
      <c r="M672" t="str">
        <f t="shared" si="10"/>
        <v>Old Age</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 Age</v>
      </c>
      <c r="N680" t="s">
        <v>18</v>
      </c>
    </row>
    <row r="681" spans="1:14" x14ac:dyDescent="0.25">
      <c r="A681">
        <v>21770</v>
      </c>
      <c r="B681" t="s">
        <v>36</v>
      </c>
      <c r="C681" t="s">
        <v>39</v>
      </c>
      <c r="D681" s="1">
        <v>60000</v>
      </c>
      <c r="E681">
        <v>4</v>
      </c>
      <c r="F681" t="s">
        <v>13</v>
      </c>
      <c r="G681" t="s">
        <v>28</v>
      </c>
      <c r="H681" t="s">
        <v>15</v>
      </c>
      <c r="I681">
        <v>2</v>
      </c>
      <c r="J681" t="s">
        <v>30</v>
      </c>
      <c r="K681" t="s">
        <v>32</v>
      </c>
      <c r="L681">
        <v>60</v>
      </c>
      <c r="M681" t="str">
        <f t="shared" si="10"/>
        <v>Old Age</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 Age</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30</v>
      </c>
      <c r="K707" t="s">
        <v>32</v>
      </c>
      <c r="L707">
        <v>59</v>
      </c>
      <c r="M707" t="str">
        <f t="shared" ref="M707:M770" si="11">IF(L707&gt;54,"Old Age",IF(L707&gt;=31,"Middle Age",IF(L707&lt;31, "Adolescent", "Invalid")))</f>
        <v>Old Age</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1">
        <v>70000</v>
      </c>
      <c r="E710">
        <v>5</v>
      </c>
      <c r="F710" t="s">
        <v>13</v>
      </c>
      <c r="G710" t="s">
        <v>28</v>
      </c>
      <c r="H710" t="s">
        <v>15</v>
      </c>
      <c r="I710">
        <v>4</v>
      </c>
      <c r="J710" t="s">
        <v>30</v>
      </c>
      <c r="K710" t="s">
        <v>32</v>
      </c>
      <c r="L710">
        <v>60</v>
      </c>
      <c r="M710" t="str">
        <f t="shared" si="11"/>
        <v>Old Age</v>
      </c>
      <c r="N710" t="s">
        <v>18</v>
      </c>
    </row>
    <row r="711" spans="1:14" x14ac:dyDescent="0.25">
      <c r="A711">
        <v>23712</v>
      </c>
      <c r="B711" t="s">
        <v>37</v>
      </c>
      <c r="C711" t="s">
        <v>38</v>
      </c>
      <c r="D711" s="1">
        <v>70000</v>
      </c>
      <c r="E711">
        <v>2</v>
      </c>
      <c r="F711" t="s">
        <v>13</v>
      </c>
      <c r="G711" t="s">
        <v>28</v>
      </c>
      <c r="H711" t="s">
        <v>15</v>
      </c>
      <c r="I711">
        <v>1</v>
      </c>
      <c r="J711" t="s">
        <v>30</v>
      </c>
      <c r="K711" t="s">
        <v>32</v>
      </c>
      <c r="L711">
        <v>59</v>
      </c>
      <c r="M711" t="str">
        <f t="shared" si="11"/>
        <v>Old Age</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30</v>
      </c>
      <c r="K713" t="s">
        <v>32</v>
      </c>
      <c r="L713">
        <v>58</v>
      </c>
      <c r="M713" t="str">
        <f t="shared" si="11"/>
        <v>Old Age</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 Age</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 Age</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30</v>
      </c>
      <c r="K741" t="s">
        <v>32</v>
      </c>
      <c r="L741">
        <v>55</v>
      </c>
      <c r="M741" t="str">
        <f t="shared" si="11"/>
        <v>Old Age</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30</v>
      </c>
      <c r="K746" t="s">
        <v>32</v>
      </c>
      <c r="L746">
        <v>56</v>
      </c>
      <c r="M746" t="str">
        <f t="shared" si="11"/>
        <v>Old Age</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30</v>
      </c>
      <c r="K748" t="s">
        <v>32</v>
      </c>
      <c r="L748">
        <v>56</v>
      </c>
      <c r="M748" t="str">
        <f t="shared" si="11"/>
        <v>Old Age</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 Age</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 Age</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 Age</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1">
        <v>60000</v>
      </c>
      <c r="E763">
        <v>5</v>
      </c>
      <c r="F763" t="s">
        <v>13</v>
      </c>
      <c r="G763" t="s">
        <v>28</v>
      </c>
      <c r="H763" t="s">
        <v>15</v>
      </c>
      <c r="I763">
        <v>3</v>
      </c>
      <c r="J763" t="s">
        <v>30</v>
      </c>
      <c r="K763" t="s">
        <v>32</v>
      </c>
      <c r="L763">
        <v>59</v>
      </c>
      <c r="M763" t="str">
        <f t="shared" si="11"/>
        <v>Old Age</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30</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 Age</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IF(L771&gt;54,"Old Age",IF(L771&gt;=31,"Middle Age",IF(L771&lt;31, "Adolescent", "Invalid")))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 Age</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1">
        <v>70000</v>
      </c>
      <c r="E777">
        <v>2</v>
      </c>
      <c r="F777" t="s">
        <v>29</v>
      </c>
      <c r="G777" t="s">
        <v>14</v>
      </c>
      <c r="H777" t="s">
        <v>15</v>
      </c>
      <c r="I777">
        <v>2</v>
      </c>
      <c r="J777" t="s">
        <v>30</v>
      </c>
      <c r="K777" t="s">
        <v>32</v>
      </c>
      <c r="L777">
        <v>54</v>
      </c>
      <c r="M777" t="str">
        <f t="shared" si="12"/>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 Age</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1">
        <v>60000</v>
      </c>
      <c r="E782">
        <v>2</v>
      </c>
      <c r="F782" t="s">
        <v>19</v>
      </c>
      <c r="G782" t="s">
        <v>21</v>
      </c>
      <c r="H782" t="s">
        <v>15</v>
      </c>
      <c r="I782">
        <v>1</v>
      </c>
      <c r="J782" t="s">
        <v>30</v>
      </c>
      <c r="K782" t="s">
        <v>32</v>
      </c>
      <c r="L782">
        <v>55</v>
      </c>
      <c r="M782" t="str">
        <f t="shared" si="12"/>
        <v>Old Age</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 Age</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 Age</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 Age</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 Age</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 Age</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1">
        <v>70000</v>
      </c>
      <c r="E814">
        <v>4</v>
      </c>
      <c r="F814" t="s">
        <v>13</v>
      </c>
      <c r="G814" t="s">
        <v>28</v>
      </c>
      <c r="H814" t="s">
        <v>15</v>
      </c>
      <c r="I814">
        <v>2</v>
      </c>
      <c r="J814" t="s">
        <v>30</v>
      </c>
      <c r="K814" t="s">
        <v>32</v>
      </c>
      <c r="L814">
        <v>61</v>
      </c>
      <c r="M814" t="str">
        <f t="shared" si="12"/>
        <v>Old Age</v>
      </c>
      <c r="N814" t="s">
        <v>18</v>
      </c>
    </row>
    <row r="815" spans="1:14" x14ac:dyDescent="0.25">
      <c r="A815">
        <v>25899</v>
      </c>
      <c r="B815" t="s">
        <v>36</v>
      </c>
      <c r="C815" t="s">
        <v>38</v>
      </c>
      <c r="D815" s="1">
        <v>70000</v>
      </c>
      <c r="E815">
        <v>2</v>
      </c>
      <c r="F815" t="s">
        <v>27</v>
      </c>
      <c r="G815" t="s">
        <v>21</v>
      </c>
      <c r="H815" t="s">
        <v>15</v>
      </c>
      <c r="I815">
        <v>2</v>
      </c>
      <c r="J815" t="s">
        <v>30</v>
      </c>
      <c r="K815" t="s">
        <v>32</v>
      </c>
      <c r="L815">
        <v>53</v>
      </c>
      <c r="M815" t="str">
        <f t="shared" si="12"/>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 Age</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 Age</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IF(L835&gt;54,"Old Age",IF(L835&gt;=31,"Middle Age",IF(L835&lt;31, "Adolescent", "Invalid")))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30</v>
      </c>
      <c r="K842" t="s">
        <v>32</v>
      </c>
      <c r="L842">
        <v>53</v>
      </c>
      <c r="M842" t="str">
        <f t="shared" si="13"/>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 Age</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1">
        <v>40000</v>
      </c>
      <c r="E846">
        <v>5</v>
      </c>
      <c r="F846" t="s">
        <v>27</v>
      </c>
      <c r="G846" t="s">
        <v>21</v>
      </c>
      <c r="H846" t="s">
        <v>15</v>
      </c>
      <c r="I846">
        <v>2</v>
      </c>
      <c r="J846" t="s">
        <v>30</v>
      </c>
      <c r="K846" t="s">
        <v>32</v>
      </c>
      <c r="L846">
        <v>60</v>
      </c>
      <c r="M846" t="str">
        <f t="shared" si="13"/>
        <v>Old Age</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 Age</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 Age</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 Age</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1">
        <v>60000</v>
      </c>
      <c r="E868">
        <v>2</v>
      </c>
      <c r="F868" t="s">
        <v>27</v>
      </c>
      <c r="G868" t="s">
        <v>21</v>
      </c>
      <c r="H868" t="s">
        <v>15</v>
      </c>
      <c r="I868">
        <v>2</v>
      </c>
      <c r="J868" t="s">
        <v>30</v>
      </c>
      <c r="K868" t="s">
        <v>32</v>
      </c>
      <c r="L868">
        <v>55</v>
      </c>
      <c r="M868" t="str">
        <f t="shared" si="13"/>
        <v>Old Age</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30</v>
      </c>
      <c r="K870" t="s">
        <v>32</v>
      </c>
      <c r="L870">
        <v>60</v>
      </c>
      <c r="M870" t="str">
        <f t="shared" si="13"/>
        <v>Old Age</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30</v>
      </c>
      <c r="K873" t="s">
        <v>32</v>
      </c>
      <c r="L873">
        <v>55</v>
      </c>
      <c r="M873" t="str">
        <f t="shared" si="13"/>
        <v>Old Age</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 Age</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 Age</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 Age</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 Age</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 Age</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 Age</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IF(L899&gt;54,"Old Age",IF(L899&gt;=31,"Middle Age",IF(L899&lt;31, "Adolescent", "Invalid")))</f>
        <v>Adolescent</v>
      </c>
      <c r="N899" t="s">
        <v>18</v>
      </c>
    </row>
    <row r="900" spans="1:14" x14ac:dyDescent="0.25">
      <c r="A900">
        <v>18066</v>
      </c>
      <c r="B900" t="s">
        <v>37</v>
      </c>
      <c r="C900" t="s">
        <v>39</v>
      </c>
      <c r="D900" s="1">
        <v>70000</v>
      </c>
      <c r="E900">
        <v>5</v>
      </c>
      <c r="F900" t="s">
        <v>13</v>
      </c>
      <c r="G900" t="s">
        <v>28</v>
      </c>
      <c r="H900" t="s">
        <v>15</v>
      </c>
      <c r="I900">
        <v>3</v>
      </c>
      <c r="J900" t="s">
        <v>30</v>
      </c>
      <c r="K900" t="s">
        <v>32</v>
      </c>
      <c r="L900">
        <v>60</v>
      </c>
      <c r="M900" t="str">
        <f t="shared" si="14"/>
        <v>Old Age</v>
      </c>
      <c r="N900" t="s">
        <v>15</v>
      </c>
    </row>
    <row r="901" spans="1:14" x14ac:dyDescent="0.25">
      <c r="A901">
        <v>28192</v>
      </c>
      <c r="B901" t="s">
        <v>36</v>
      </c>
      <c r="C901" t="s">
        <v>38</v>
      </c>
      <c r="D901" s="1">
        <v>70000</v>
      </c>
      <c r="E901">
        <v>5</v>
      </c>
      <c r="F901" t="s">
        <v>31</v>
      </c>
      <c r="G901" t="s">
        <v>21</v>
      </c>
      <c r="H901" t="s">
        <v>15</v>
      </c>
      <c r="I901">
        <v>3</v>
      </c>
      <c r="J901" t="s">
        <v>30</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 Age</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1">
        <v>50000</v>
      </c>
      <c r="E909">
        <v>4</v>
      </c>
      <c r="F909" t="s">
        <v>13</v>
      </c>
      <c r="G909" t="s">
        <v>28</v>
      </c>
      <c r="H909" t="s">
        <v>15</v>
      </c>
      <c r="I909">
        <v>2</v>
      </c>
      <c r="J909" t="s">
        <v>30</v>
      </c>
      <c r="K909" t="s">
        <v>32</v>
      </c>
      <c r="L909">
        <v>63</v>
      </c>
      <c r="M909" t="str">
        <f t="shared" si="14"/>
        <v>Old Age</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 Age</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30</v>
      </c>
      <c r="K917" t="s">
        <v>32</v>
      </c>
      <c r="L917">
        <v>64</v>
      </c>
      <c r="M917" t="str">
        <f t="shared" si="14"/>
        <v>Old Age</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30</v>
      </c>
      <c r="K921" t="s">
        <v>32</v>
      </c>
      <c r="L921">
        <v>61</v>
      </c>
      <c r="M921" t="str">
        <f t="shared" si="14"/>
        <v>Old Age</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1">
        <v>40000</v>
      </c>
      <c r="E928">
        <v>2</v>
      </c>
      <c r="F928" t="s">
        <v>27</v>
      </c>
      <c r="G928" t="s">
        <v>21</v>
      </c>
      <c r="H928" t="s">
        <v>15</v>
      </c>
      <c r="I928">
        <v>2</v>
      </c>
      <c r="J928" t="s">
        <v>30</v>
      </c>
      <c r="K928" t="s">
        <v>32</v>
      </c>
      <c r="L928">
        <v>57</v>
      </c>
      <c r="M928" t="str">
        <f t="shared" si="14"/>
        <v>Old Age</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1">
        <v>70000</v>
      </c>
      <c r="E932">
        <v>5</v>
      </c>
      <c r="F932" t="s">
        <v>31</v>
      </c>
      <c r="G932" t="s">
        <v>21</v>
      </c>
      <c r="H932" t="s">
        <v>18</v>
      </c>
      <c r="I932">
        <v>3</v>
      </c>
      <c r="J932" t="s">
        <v>30</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 Age</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 Age</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 Age</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1">
        <v>70000</v>
      </c>
      <c r="E951">
        <v>2</v>
      </c>
      <c r="F951" t="s">
        <v>29</v>
      </c>
      <c r="G951" t="s">
        <v>14</v>
      </c>
      <c r="H951" t="s">
        <v>15</v>
      </c>
      <c r="I951">
        <v>2</v>
      </c>
      <c r="J951" t="s">
        <v>30</v>
      </c>
      <c r="K951" t="s">
        <v>32</v>
      </c>
      <c r="L951">
        <v>53</v>
      </c>
      <c r="M951" t="str">
        <f t="shared" si="14"/>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 Age</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IF(L963&gt;54,"Old Age",IF(L963&gt;=31,"Middle Age",IF(L963&lt;31, "Adolescent", "Invalid")))</f>
        <v>Old Age</v>
      </c>
      <c r="N963" t="s">
        <v>18</v>
      </c>
    </row>
    <row r="964" spans="1:14" x14ac:dyDescent="0.25">
      <c r="A964">
        <v>16813</v>
      </c>
      <c r="B964" t="s">
        <v>36</v>
      </c>
      <c r="C964" t="s">
        <v>39</v>
      </c>
      <c r="D964" s="1">
        <v>60000</v>
      </c>
      <c r="E964">
        <v>2</v>
      </c>
      <c r="F964" t="s">
        <v>19</v>
      </c>
      <c r="G964" t="s">
        <v>21</v>
      </c>
      <c r="H964" t="s">
        <v>15</v>
      </c>
      <c r="I964">
        <v>2</v>
      </c>
      <c r="J964" t="s">
        <v>30</v>
      </c>
      <c r="K964" t="s">
        <v>32</v>
      </c>
      <c r="L964">
        <v>55</v>
      </c>
      <c r="M964" t="str">
        <f t="shared" si="15"/>
        <v>Old Age</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 Age</v>
      </c>
      <c r="N965" t="s">
        <v>15</v>
      </c>
    </row>
    <row r="966" spans="1:14" x14ac:dyDescent="0.25">
      <c r="A966">
        <v>27434</v>
      </c>
      <c r="B966" t="s">
        <v>37</v>
      </c>
      <c r="C966" t="s">
        <v>39</v>
      </c>
      <c r="D966" s="1">
        <v>70000</v>
      </c>
      <c r="E966">
        <v>4</v>
      </c>
      <c r="F966" t="s">
        <v>19</v>
      </c>
      <c r="G966" t="s">
        <v>21</v>
      </c>
      <c r="H966" t="s">
        <v>15</v>
      </c>
      <c r="I966">
        <v>1</v>
      </c>
      <c r="J966" t="s">
        <v>30</v>
      </c>
      <c r="K966" t="s">
        <v>32</v>
      </c>
      <c r="L966">
        <v>56</v>
      </c>
      <c r="M966" t="str">
        <f t="shared" si="15"/>
        <v>Old Age</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 Age</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1">
        <v>60000</v>
      </c>
      <c r="E978">
        <v>3</v>
      </c>
      <c r="F978" t="s">
        <v>13</v>
      </c>
      <c r="G978" t="s">
        <v>28</v>
      </c>
      <c r="H978" t="s">
        <v>15</v>
      </c>
      <c r="I978">
        <v>2</v>
      </c>
      <c r="J978" t="s">
        <v>30</v>
      </c>
      <c r="K978" t="s">
        <v>32</v>
      </c>
      <c r="L978">
        <v>66</v>
      </c>
      <c r="M978" t="str">
        <f t="shared" si="15"/>
        <v>Old Age</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 Age</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1">
        <v>80000</v>
      </c>
      <c r="E982">
        <v>3</v>
      </c>
      <c r="F982" t="s">
        <v>13</v>
      </c>
      <c r="G982" t="s">
        <v>14</v>
      </c>
      <c r="H982" t="s">
        <v>15</v>
      </c>
      <c r="I982">
        <v>3</v>
      </c>
      <c r="J982" t="s">
        <v>30</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30</v>
      </c>
      <c r="K988" t="s">
        <v>32</v>
      </c>
      <c r="L988">
        <v>60</v>
      </c>
      <c r="M988" t="str">
        <f t="shared" si="15"/>
        <v>Old Age</v>
      </c>
      <c r="N988" t="s">
        <v>15</v>
      </c>
    </row>
    <row r="989" spans="1:14" x14ac:dyDescent="0.25">
      <c r="A989">
        <v>28972</v>
      </c>
      <c r="B989" t="s">
        <v>37</v>
      </c>
      <c r="C989" t="s">
        <v>38</v>
      </c>
      <c r="D989" s="1">
        <v>60000</v>
      </c>
      <c r="E989">
        <v>3</v>
      </c>
      <c r="F989" t="s">
        <v>31</v>
      </c>
      <c r="G989" t="s">
        <v>28</v>
      </c>
      <c r="H989" t="s">
        <v>15</v>
      </c>
      <c r="I989">
        <v>2</v>
      </c>
      <c r="J989" t="s">
        <v>30</v>
      </c>
      <c r="K989" t="s">
        <v>32</v>
      </c>
      <c r="L989">
        <v>66</v>
      </c>
      <c r="M989" t="str">
        <f t="shared" si="15"/>
        <v>Old Age</v>
      </c>
      <c r="N989" t="s">
        <v>18</v>
      </c>
    </row>
    <row r="990" spans="1:14" x14ac:dyDescent="0.25">
      <c r="A990">
        <v>22730</v>
      </c>
      <c r="B990" t="s">
        <v>36</v>
      </c>
      <c r="C990" t="s">
        <v>39</v>
      </c>
      <c r="D990" s="1">
        <v>70000</v>
      </c>
      <c r="E990">
        <v>5</v>
      </c>
      <c r="F990" t="s">
        <v>13</v>
      </c>
      <c r="G990" t="s">
        <v>28</v>
      </c>
      <c r="H990" t="s">
        <v>15</v>
      </c>
      <c r="I990">
        <v>2</v>
      </c>
      <c r="J990" t="s">
        <v>30</v>
      </c>
      <c r="K990" t="s">
        <v>32</v>
      </c>
      <c r="L990">
        <v>63</v>
      </c>
      <c r="M990" t="str">
        <f t="shared" si="15"/>
        <v>Old Age</v>
      </c>
      <c r="N990" t="s">
        <v>18</v>
      </c>
    </row>
    <row r="991" spans="1:14" x14ac:dyDescent="0.25">
      <c r="A991">
        <v>29134</v>
      </c>
      <c r="B991" t="s">
        <v>36</v>
      </c>
      <c r="C991" t="s">
        <v>39</v>
      </c>
      <c r="D991" s="1">
        <v>60000</v>
      </c>
      <c r="E991">
        <v>4</v>
      </c>
      <c r="F991" t="s">
        <v>13</v>
      </c>
      <c r="G991" t="s">
        <v>14</v>
      </c>
      <c r="H991" t="s">
        <v>18</v>
      </c>
      <c r="I991">
        <v>3</v>
      </c>
      <c r="J991" t="s">
        <v>30</v>
      </c>
      <c r="K991" t="s">
        <v>32</v>
      </c>
      <c r="L991">
        <v>42</v>
      </c>
      <c r="M991" t="str">
        <f t="shared" si="15"/>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1">
        <v>60000</v>
      </c>
      <c r="E1001">
        <v>3</v>
      </c>
      <c r="F1001" t="s">
        <v>27</v>
      </c>
      <c r="G1001" t="s">
        <v>21</v>
      </c>
      <c r="H1001" t="s">
        <v>15</v>
      </c>
      <c r="I1001">
        <v>2</v>
      </c>
      <c r="J1001" t="s">
        <v>30</v>
      </c>
      <c r="K1001" t="s">
        <v>32</v>
      </c>
      <c r="L1001">
        <v>53</v>
      </c>
      <c r="M1001" t="str">
        <f t="shared" si="15"/>
        <v>Middle Age</v>
      </c>
      <c r="N1001" t="s">
        <v>15</v>
      </c>
    </row>
  </sheetData>
  <autoFilter ref="A1:N1001" xr:uid="{181FCD78-7E3D-487B-9012-AD101A0D8B7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5F400-7686-4C1A-A2C5-23AE172105CF}">
  <dimension ref="A3:D110"/>
  <sheetViews>
    <sheetView topLeftCell="A50" zoomScale="72" workbookViewId="0">
      <selection activeCell="O17" sqref="O17"/>
    </sheetView>
  </sheetViews>
  <sheetFormatPr defaultRowHeight="15" x14ac:dyDescent="0.25"/>
  <cols>
    <col min="1" max="1" width="32.85546875" bestFit="1" customWidth="1"/>
    <col min="2" max="2" width="23.42578125" bestFit="1" customWidth="1"/>
    <col min="3" max="3" width="10.85546875" bestFit="1" customWidth="1"/>
    <col min="4" max="4" width="11.28515625" bestFit="1" customWidth="1"/>
  </cols>
  <sheetData>
    <row r="3" spans="1:4" x14ac:dyDescent="0.25">
      <c r="A3" s="3" t="s">
        <v>41</v>
      </c>
      <c r="B3" s="3" t="s">
        <v>44</v>
      </c>
    </row>
    <row r="4" spans="1:4" x14ac:dyDescent="0.25">
      <c r="A4" s="3" t="s">
        <v>42</v>
      </c>
      <c r="B4" t="s">
        <v>18</v>
      </c>
      <c r="C4" t="s">
        <v>15</v>
      </c>
      <c r="D4" t="s">
        <v>43</v>
      </c>
    </row>
    <row r="5" spans="1:4" x14ac:dyDescent="0.25">
      <c r="A5" s="4" t="s">
        <v>38</v>
      </c>
      <c r="B5" s="5">
        <v>53440</v>
      </c>
      <c r="C5" s="5">
        <v>55774.058577405856</v>
      </c>
      <c r="D5" s="5">
        <v>54580.777096114522</v>
      </c>
    </row>
    <row r="6" spans="1:4" x14ac:dyDescent="0.25">
      <c r="A6" s="4" t="s">
        <v>39</v>
      </c>
      <c r="B6" s="5">
        <v>56208.178438661707</v>
      </c>
      <c r="C6" s="5">
        <v>60123.966942148763</v>
      </c>
      <c r="D6" s="5">
        <v>58062.62230919765</v>
      </c>
    </row>
    <row r="7" spans="1:4" x14ac:dyDescent="0.25">
      <c r="A7" s="4" t="s">
        <v>43</v>
      </c>
      <c r="B7" s="5">
        <v>54874.759152215796</v>
      </c>
      <c r="C7" s="5">
        <v>57962.577962577961</v>
      </c>
      <c r="D7" s="5">
        <v>56360</v>
      </c>
    </row>
    <row r="23" spans="1:4" x14ac:dyDescent="0.25">
      <c r="A23" s="3" t="s">
        <v>45</v>
      </c>
      <c r="B23" s="3" t="s">
        <v>44</v>
      </c>
    </row>
    <row r="24" spans="1:4" x14ac:dyDescent="0.25">
      <c r="A24" s="3" t="s">
        <v>42</v>
      </c>
      <c r="B24" t="s">
        <v>18</v>
      </c>
      <c r="C24" t="s">
        <v>15</v>
      </c>
      <c r="D24" t="s">
        <v>43</v>
      </c>
    </row>
    <row r="25" spans="1:4" x14ac:dyDescent="0.25">
      <c r="A25" s="4" t="s">
        <v>16</v>
      </c>
      <c r="B25" s="6">
        <v>166</v>
      </c>
      <c r="C25" s="6">
        <v>200</v>
      </c>
      <c r="D25" s="6">
        <v>366</v>
      </c>
    </row>
    <row r="26" spans="1:4" x14ac:dyDescent="0.25">
      <c r="A26" s="4" t="s">
        <v>26</v>
      </c>
      <c r="B26" s="6">
        <v>92</v>
      </c>
      <c r="C26" s="6">
        <v>77</v>
      </c>
      <c r="D26" s="6">
        <v>169</v>
      </c>
    </row>
    <row r="27" spans="1:4" x14ac:dyDescent="0.25">
      <c r="A27" s="4" t="s">
        <v>22</v>
      </c>
      <c r="B27" s="6">
        <v>67</v>
      </c>
      <c r="C27" s="6">
        <v>95</v>
      </c>
      <c r="D27" s="6">
        <v>162</v>
      </c>
    </row>
    <row r="28" spans="1:4" x14ac:dyDescent="0.25">
      <c r="A28" s="4" t="s">
        <v>23</v>
      </c>
      <c r="B28" s="6">
        <v>116</v>
      </c>
      <c r="C28" s="6">
        <v>76</v>
      </c>
      <c r="D28" s="6">
        <v>192</v>
      </c>
    </row>
    <row r="29" spans="1:4" x14ac:dyDescent="0.25">
      <c r="A29" s="4" t="s">
        <v>30</v>
      </c>
      <c r="B29" s="6">
        <v>78</v>
      </c>
      <c r="C29" s="6">
        <v>33</v>
      </c>
      <c r="D29" s="6">
        <v>111</v>
      </c>
    </row>
    <row r="30" spans="1:4" x14ac:dyDescent="0.25">
      <c r="A30" s="4" t="s">
        <v>43</v>
      </c>
      <c r="B30" s="6">
        <v>519</v>
      </c>
      <c r="C30" s="6">
        <v>481</v>
      </c>
      <c r="D30" s="6">
        <v>1000</v>
      </c>
    </row>
    <row r="37" spans="1:4" x14ac:dyDescent="0.25">
      <c r="A37" s="3" t="s">
        <v>45</v>
      </c>
      <c r="B37" s="3" t="s">
        <v>44</v>
      </c>
    </row>
    <row r="38" spans="1:4" x14ac:dyDescent="0.25">
      <c r="A38" s="3" t="s">
        <v>42</v>
      </c>
      <c r="B38" t="s">
        <v>18</v>
      </c>
      <c r="C38" t="s">
        <v>15</v>
      </c>
      <c r="D38" t="s">
        <v>43</v>
      </c>
    </row>
    <row r="39" spans="1:4" x14ac:dyDescent="0.25">
      <c r="A39" s="4" t="s">
        <v>46</v>
      </c>
      <c r="B39" s="6">
        <v>71</v>
      </c>
      <c r="C39" s="6">
        <v>39</v>
      </c>
      <c r="D39" s="6">
        <v>110</v>
      </c>
    </row>
    <row r="40" spans="1:4" x14ac:dyDescent="0.25">
      <c r="A40" s="4" t="s">
        <v>47</v>
      </c>
      <c r="B40" s="6">
        <v>318</v>
      </c>
      <c r="C40" s="6">
        <v>383</v>
      </c>
      <c r="D40" s="6">
        <v>701</v>
      </c>
    </row>
    <row r="41" spans="1:4" x14ac:dyDescent="0.25">
      <c r="A41" s="4" t="s">
        <v>48</v>
      </c>
      <c r="B41" s="6">
        <v>130</v>
      </c>
      <c r="C41" s="6">
        <v>59</v>
      </c>
      <c r="D41" s="6">
        <v>189</v>
      </c>
    </row>
    <row r="42" spans="1:4" x14ac:dyDescent="0.25">
      <c r="A42" s="4" t="s">
        <v>43</v>
      </c>
      <c r="B42" s="6">
        <v>519</v>
      </c>
      <c r="C42" s="6">
        <v>481</v>
      </c>
      <c r="D42" s="6">
        <v>1000</v>
      </c>
    </row>
    <row r="55" spans="1:4" x14ac:dyDescent="0.25">
      <c r="A55" s="3" t="s">
        <v>45</v>
      </c>
      <c r="B55" s="3" t="s">
        <v>44</v>
      </c>
    </row>
    <row r="56" spans="1:4" x14ac:dyDescent="0.25">
      <c r="A56" s="3" t="s">
        <v>42</v>
      </c>
      <c r="B56" t="s">
        <v>18</v>
      </c>
      <c r="C56" t="s">
        <v>15</v>
      </c>
      <c r="D56" t="s">
        <v>43</v>
      </c>
    </row>
    <row r="57" spans="1:4" x14ac:dyDescent="0.25">
      <c r="A57" s="4">
        <v>25</v>
      </c>
      <c r="B57" s="6">
        <v>2</v>
      </c>
      <c r="C57" s="6">
        <v>4</v>
      </c>
      <c r="D57" s="6">
        <v>6</v>
      </c>
    </row>
    <row r="58" spans="1:4" x14ac:dyDescent="0.25">
      <c r="A58" s="4">
        <v>26</v>
      </c>
      <c r="B58" s="6">
        <v>8</v>
      </c>
      <c r="C58" s="6">
        <v>8</v>
      </c>
      <c r="D58" s="6">
        <v>16</v>
      </c>
    </row>
    <row r="59" spans="1:4" x14ac:dyDescent="0.25">
      <c r="A59" s="4">
        <v>27</v>
      </c>
      <c r="B59" s="6">
        <v>15</v>
      </c>
      <c r="C59" s="6">
        <v>8</v>
      </c>
      <c r="D59" s="6">
        <v>23</v>
      </c>
    </row>
    <row r="60" spans="1:4" x14ac:dyDescent="0.25">
      <c r="A60" s="4">
        <v>28</v>
      </c>
      <c r="B60" s="6">
        <v>12</v>
      </c>
      <c r="C60" s="6">
        <v>10</v>
      </c>
      <c r="D60" s="6">
        <v>22</v>
      </c>
    </row>
    <row r="61" spans="1:4" x14ac:dyDescent="0.25">
      <c r="A61" s="4">
        <v>29</v>
      </c>
      <c r="B61" s="6">
        <v>11</v>
      </c>
      <c r="C61" s="6">
        <v>5</v>
      </c>
      <c r="D61" s="6">
        <v>16</v>
      </c>
    </row>
    <row r="62" spans="1:4" x14ac:dyDescent="0.25">
      <c r="A62" s="4">
        <v>30</v>
      </c>
      <c r="B62" s="6">
        <v>23</v>
      </c>
      <c r="C62" s="6">
        <v>4</v>
      </c>
      <c r="D62" s="6">
        <v>27</v>
      </c>
    </row>
    <row r="63" spans="1:4" x14ac:dyDescent="0.25">
      <c r="A63" s="4">
        <v>31</v>
      </c>
      <c r="B63" s="6">
        <v>17</v>
      </c>
      <c r="C63" s="6">
        <v>8</v>
      </c>
      <c r="D63" s="6">
        <v>25</v>
      </c>
    </row>
    <row r="64" spans="1:4" x14ac:dyDescent="0.25">
      <c r="A64" s="4">
        <v>32</v>
      </c>
      <c r="B64" s="6">
        <v>19</v>
      </c>
      <c r="C64" s="6">
        <v>14</v>
      </c>
      <c r="D64" s="6">
        <v>33</v>
      </c>
    </row>
    <row r="65" spans="1:4" x14ac:dyDescent="0.25">
      <c r="A65" s="4">
        <v>33</v>
      </c>
      <c r="B65" s="6">
        <v>8</v>
      </c>
      <c r="C65" s="6">
        <v>13</v>
      </c>
      <c r="D65" s="6">
        <v>21</v>
      </c>
    </row>
    <row r="66" spans="1:4" x14ac:dyDescent="0.25">
      <c r="A66" s="4">
        <v>34</v>
      </c>
      <c r="B66" s="6">
        <v>12</v>
      </c>
      <c r="C66" s="6">
        <v>19</v>
      </c>
      <c r="D66" s="6">
        <v>31</v>
      </c>
    </row>
    <row r="67" spans="1:4" x14ac:dyDescent="0.25">
      <c r="A67" s="4">
        <v>35</v>
      </c>
      <c r="B67" s="6">
        <v>14</v>
      </c>
      <c r="C67" s="6">
        <v>22</v>
      </c>
      <c r="D67" s="6">
        <v>36</v>
      </c>
    </row>
    <row r="68" spans="1:4" x14ac:dyDescent="0.25">
      <c r="A68" s="4">
        <v>36</v>
      </c>
      <c r="B68" s="6">
        <v>7</v>
      </c>
      <c r="C68" s="6">
        <v>30</v>
      </c>
      <c r="D68" s="6">
        <v>37</v>
      </c>
    </row>
    <row r="69" spans="1:4" x14ac:dyDescent="0.25">
      <c r="A69" s="4">
        <v>37</v>
      </c>
      <c r="B69" s="6">
        <v>4</v>
      </c>
      <c r="C69" s="6">
        <v>28</v>
      </c>
      <c r="D69" s="6">
        <v>32</v>
      </c>
    </row>
    <row r="70" spans="1:4" x14ac:dyDescent="0.25">
      <c r="A70" s="4">
        <v>38</v>
      </c>
      <c r="B70" s="6">
        <v>8</v>
      </c>
      <c r="C70" s="6">
        <v>29</v>
      </c>
      <c r="D70" s="6">
        <v>37</v>
      </c>
    </row>
    <row r="71" spans="1:4" x14ac:dyDescent="0.25">
      <c r="A71" s="4">
        <v>39</v>
      </c>
      <c r="B71" s="6">
        <v>10</v>
      </c>
      <c r="C71" s="6">
        <v>12</v>
      </c>
      <c r="D71" s="6">
        <v>22</v>
      </c>
    </row>
    <row r="72" spans="1:4" x14ac:dyDescent="0.25">
      <c r="A72" s="4">
        <v>40</v>
      </c>
      <c r="B72" s="6">
        <v>24</v>
      </c>
      <c r="C72" s="6">
        <v>18</v>
      </c>
      <c r="D72" s="6">
        <v>42</v>
      </c>
    </row>
    <row r="73" spans="1:4" x14ac:dyDescent="0.25">
      <c r="A73" s="4">
        <v>41</v>
      </c>
      <c r="B73" s="6">
        <v>13</v>
      </c>
      <c r="C73" s="6">
        <v>15</v>
      </c>
      <c r="D73" s="6">
        <v>28</v>
      </c>
    </row>
    <row r="74" spans="1:4" x14ac:dyDescent="0.25">
      <c r="A74" s="4">
        <v>42</v>
      </c>
      <c r="B74" s="6">
        <v>22</v>
      </c>
      <c r="C74" s="6">
        <v>12</v>
      </c>
      <c r="D74" s="6">
        <v>34</v>
      </c>
    </row>
    <row r="75" spans="1:4" x14ac:dyDescent="0.25">
      <c r="A75" s="4">
        <v>43</v>
      </c>
      <c r="B75" s="6">
        <v>17</v>
      </c>
      <c r="C75" s="6">
        <v>19</v>
      </c>
      <c r="D75" s="6">
        <v>36</v>
      </c>
    </row>
    <row r="76" spans="1:4" x14ac:dyDescent="0.25">
      <c r="A76" s="4">
        <v>44</v>
      </c>
      <c r="B76" s="6">
        <v>15</v>
      </c>
      <c r="C76" s="6">
        <v>12</v>
      </c>
      <c r="D76" s="6">
        <v>27</v>
      </c>
    </row>
    <row r="77" spans="1:4" x14ac:dyDescent="0.25">
      <c r="A77" s="4">
        <v>45</v>
      </c>
      <c r="B77" s="6">
        <v>18</v>
      </c>
      <c r="C77" s="6">
        <v>13</v>
      </c>
      <c r="D77" s="6">
        <v>31</v>
      </c>
    </row>
    <row r="78" spans="1:4" x14ac:dyDescent="0.25">
      <c r="A78" s="4">
        <v>46</v>
      </c>
      <c r="B78" s="6">
        <v>12</v>
      </c>
      <c r="C78" s="6">
        <v>15</v>
      </c>
      <c r="D78" s="6">
        <v>27</v>
      </c>
    </row>
    <row r="79" spans="1:4" x14ac:dyDescent="0.25">
      <c r="A79" s="4">
        <v>47</v>
      </c>
      <c r="B79" s="6">
        <v>19</v>
      </c>
      <c r="C79" s="6">
        <v>20</v>
      </c>
      <c r="D79" s="6">
        <v>39</v>
      </c>
    </row>
    <row r="80" spans="1:4" x14ac:dyDescent="0.25">
      <c r="A80" s="4">
        <v>48</v>
      </c>
      <c r="B80" s="6">
        <v>16</v>
      </c>
      <c r="C80" s="6">
        <v>13</v>
      </c>
      <c r="D80" s="6">
        <v>29</v>
      </c>
    </row>
    <row r="81" spans="1:4" x14ac:dyDescent="0.25">
      <c r="A81" s="4">
        <v>49</v>
      </c>
      <c r="B81" s="6">
        <v>15</v>
      </c>
      <c r="C81" s="6">
        <v>8</v>
      </c>
      <c r="D81" s="6">
        <v>23</v>
      </c>
    </row>
    <row r="82" spans="1:4" x14ac:dyDescent="0.25">
      <c r="A82" s="4">
        <v>50</v>
      </c>
      <c r="B82" s="6">
        <v>12</v>
      </c>
      <c r="C82" s="6">
        <v>12</v>
      </c>
      <c r="D82" s="6">
        <v>24</v>
      </c>
    </row>
    <row r="83" spans="1:4" x14ac:dyDescent="0.25">
      <c r="A83" s="4">
        <v>51</v>
      </c>
      <c r="B83" s="6">
        <v>10</v>
      </c>
      <c r="C83" s="6">
        <v>12</v>
      </c>
      <c r="D83" s="6">
        <v>22</v>
      </c>
    </row>
    <row r="84" spans="1:4" x14ac:dyDescent="0.25">
      <c r="A84" s="4">
        <v>52</v>
      </c>
      <c r="B84" s="6">
        <v>10</v>
      </c>
      <c r="C84" s="6">
        <v>15</v>
      </c>
      <c r="D84" s="6">
        <v>25</v>
      </c>
    </row>
    <row r="85" spans="1:4" x14ac:dyDescent="0.25">
      <c r="A85" s="4">
        <v>53</v>
      </c>
      <c r="B85" s="6">
        <v>11</v>
      </c>
      <c r="C85" s="6">
        <v>13</v>
      </c>
      <c r="D85" s="6">
        <v>24</v>
      </c>
    </row>
    <row r="86" spans="1:4" x14ac:dyDescent="0.25">
      <c r="A86" s="4">
        <v>54</v>
      </c>
      <c r="B86" s="6">
        <v>5</v>
      </c>
      <c r="C86" s="6">
        <v>11</v>
      </c>
      <c r="D86" s="6">
        <v>16</v>
      </c>
    </row>
    <row r="87" spans="1:4" x14ac:dyDescent="0.25">
      <c r="A87" s="4">
        <v>55</v>
      </c>
      <c r="B87" s="6">
        <v>13</v>
      </c>
      <c r="C87" s="6">
        <v>5</v>
      </c>
      <c r="D87" s="6">
        <v>18</v>
      </c>
    </row>
    <row r="88" spans="1:4" x14ac:dyDescent="0.25">
      <c r="A88" s="4">
        <v>56</v>
      </c>
      <c r="B88" s="6">
        <v>13</v>
      </c>
      <c r="C88" s="6">
        <v>3</v>
      </c>
      <c r="D88" s="6">
        <v>16</v>
      </c>
    </row>
    <row r="89" spans="1:4" x14ac:dyDescent="0.25">
      <c r="A89" s="4">
        <v>57</v>
      </c>
      <c r="B89" s="6">
        <v>4</v>
      </c>
      <c r="C89" s="6">
        <v>4</v>
      </c>
      <c r="D89" s="6">
        <v>8</v>
      </c>
    </row>
    <row r="90" spans="1:4" x14ac:dyDescent="0.25">
      <c r="A90" s="4">
        <v>58</v>
      </c>
      <c r="B90" s="6">
        <v>8</v>
      </c>
      <c r="C90" s="6">
        <v>4</v>
      </c>
      <c r="D90" s="6">
        <v>12</v>
      </c>
    </row>
    <row r="91" spans="1:4" x14ac:dyDescent="0.25">
      <c r="A91" s="4">
        <v>59</v>
      </c>
      <c r="B91" s="6">
        <v>14</v>
      </c>
      <c r="C91" s="6">
        <v>6</v>
      </c>
      <c r="D91" s="6">
        <v>20</v>
      </c>
    </row>
    <row r="92" spans="1:4" x14ac:dyDescent="0.25">
      <c r="A92" s="4">
        <v>60</v>
      </c>
      <c r="B92" s="6">
        <v>8</v>
      </c>
      <c r="C92" s="6">
        <v>7</v>
      </c>
      <c r="D92" s="6">
        <v>15</v>
      </c>
    </row>
    <row r="93" spans="1:4" x14ac:dyDescent="0.25">
      <c r="A93" s="4">
        <v>61</v>
      </c>
      <c r="B93" s="6">
        <v>5</v>
      </c>
      <c r="C93" s="6">
        <v>4</v>
      </c>
      <c r="D93" s="6">
        <v>9</v>
      </c>
    </row>
    <row r="94" spans="1:4" x14ac:dyDescent="0.25">
      <c r="A94" s="4">
        <v>62</v>
      </c>
      <c r="B94" s="6">
        <v>9</v>
      </c>
      <c r="C94" s="6">
        <v>4</v>
      </c>
      <c r="D94" s="6">
        <v>13</v>
      </c>
    </row>
    <row r="95" spans="1:4" x14ac:dyDescent="0.25">
      <c r="A95" s="4">
        <v>63</v>
      </c>
      <c r="B95" s="6">
        <v>7</v>
      </c>
      <c r="C95" s="6">
        <v>2</v>
      </c>
      <c r="D95" s="6">
        <v>9</v>
      </c>
    </row>
    <row r="96" spans="1:4" x14ac:dyDescent="0.25">
      <c r="A96" s="4">
        <v>64</v>
      </c>
      <c r="B96" s="6">
        <v>7</v>
      </c>
      <c r="C96" s="6">
        <v>3</v>
      </c>
      <c r="D96" s="6">
        <v>10</v>
      </c>
    </row>
    <row r="97" spans="1:4" x14ac:dyDescent="0.25">
      <c r="A97" s="4">
        <v>65</v>
      </c>
      <c r="B97" s="6">
        <v>6</v>
      </c>
      <c r="C97" s="6">
        <v>3</v>
      </c>
      <c r="D97" s="6">
        <v>9</v>
      </c>
    </row>
    <row r="98" spans="1:4" x14ac:dyDescent="0.25">
      <c r="A98" s="4">
        <v>66</v>
      </c>
      <c r="B98" s="6">
        <v>8</v>
      </c>
      <c r="C98" s="6">
        <v>6</v>
      </c>
      <c r="D98" s="6">
        <v>14</v>
      </c>
    </row>
    <row r="99" spans="1:4" x14ac:dyDescent="0.25">
      <c r="A99" s="4">
        <v>67</v>
      </c>
      <c r="B99" s="6">
        <v>8</v>
      </c>
      <c r="C99" s="6">
        <v>2</v>
      </c>
      <c r="D99" s="6">
        <v>10</v>
      </c>
    </row>
    <row r="100" spans="1:4" x14ac:dyDescent="0.25">
      <c r="A100" s="4">
        <v>68</v>
      </c>
      <c r="B100" s="6">
        <v>3</v>
      </c>
      <c r="C100" s="6"/>
      <c r="D100" s="6">
        <v>3</v>
      </c>
    </row>
    <row r="101" spans="1:4" x14ac:dyDescent="0.25">
      <c r="A101" s="4">
        <v>69</v>
      </c>
      <c r="B101" s="6">
        <v>8</v>
      </c>
      <c r="C101" s="6"/>
      <c r="D101" s="6">
        <v>8</v>
      </c>
    </row>
    <row r="102" spans="1:4" x14ac:dyDescent="0.25">
      <c r="A102" s="4">
        <v>70</v>
      </c>
      <c r="B102" s="6">
        <v>3</v>
      </c>
      <c r="C102" s="6">
        <v>1</v>
      </c>
      <c r="D102" s="6">
        <v>4</v>
      </c>
    </row>
    <row r="103" spans="1:4" x14ac:dyDescent="0.25">
      <c r="A103" s="4">
        <v>71</v>
      </c>
      <c r="B103" s="6">
        <v>1</v>
      </c>
      <c r="C103" s="6"/>
      <c r="D103" s="6">
        <v>1</v>
      </c>
    </row>
    <row r="104" spans="1:4" x14ac:dyDescent="0.25">
      <c r="A104" s="4">
        <v>72</v>
      </c>
      <c r="B104" s="6"/>
      <c r="C104" s="6">
        <v>1</v>
      </c>
      <c r="D104" s="6">
        <v>1</v>
      </c>
    </row>
    <row r="105" spans="1:4" x14ac:dyDescent="0.25">
      <c r="A105" s="4">
        <v>73</v>
      </c>
      <c r="B105" s="6">
        <v>2</v>
      </c>
      <c r="C105" s="6">
        <v>2</v>
      </c>
      <c r="D105" s="6">
        <v>4</v>
      </c>
    </row>
    <row r="106" spans="1:4" x14ac:dyDescent="0.25">
      <c r="A106" s="4">
        <v>74</v>
      </c>
      <c r="B106" s="6"/>
      <c r="C106" s="6">
        <v>1</v>
      </c>
      <c r="D106" s="6">
        <v>1</v>
      </c>
    </row>
    <row r="107" spans="1:4" x14ac:dyDescent="0.25">
      <c r="A107" s="4">
        <v>78</v>
      </c>
      <c r="B107" s="6">
        <v>1</v>
      </c>
      <c r="C107" s="6">
        <v>1</v>
      </c>
      <c r="D107" s="6">
        <v>2</v>
      </c>
    </row>
    <row r="108" spans="1:4" x14ac:dyDescent="0.25">
      <c r="A108" s="4">
        <v>80</v>
      </c>
      <c r="B108" s="6">
        <v>1</v>
      </c>
      <c r="C108" s="6"/>
      <c r="D108" s="6">
        <v>1</v>
      </c>
    </row>
    <row r="109" spans="1:4" x14ac:dyDescent="0.25">
      <c r="A109" s="4">
        <v>89</v>
      </c>
      <c r="B109" s="6">
        <v>1</v>
      </c>
      <c r="C109" s="6"/>
      <c r="D109" s="6">
        <v>1</v>
      </c>
    </row>
    <row r="110" spans="1:4" x14ac:dyDescent="0.25">
      <c r="A110" s="4" t="s">
        <v>43</v>
      </c>
      <c r="B110" s="6">
        <v>519</v>
      </c>
      <c r="C110" s="6">
        <v>481</v>
      </c>
      <c r="D110"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5B5D2-8360-4D6A-8BF0-2D9FE75B985F}">
  <dimension ref="A1:T6"/>
  <sheetViews>
    <sheetView showGridLines="0" topLeftCell="A2" zoomScale="50" workbookViewId="0">
      <selection activeCell="W24" sqref="W24"/>
    </sheetView>
  </sheetViews>
  <sheetFormatPr defaultRowHeight="15" x14ac:dyDescent="0.25"/>
  <sheetData>
    <row r="1" spans="1:20" x14ac:dyDescent="0.25">
      <c r="A1" s="9"/>
      <c r="B1" s="7" t="s">
        <v>49</v>
      </c>
      <c r="C1" s="8"/>
      <c r="D1" s="8"/>
      <c r="E1" s="8"/>
      <c r="F1" s="8"/>
      <c r="G1" s="8"/>
      <c r="H1" s="8"/>
      <c r="I1" s="8"/>
      <c r="J1" s="8"/>
      <c r="K1" s="8"/>
      <c r="L1" s="8"/>
      <c r="M1" s="8"/>
      <c r="N1" s="8"/>
      <c r="O1" s="8"/>
      <c r="P1" s="8"/>
      <c r="Q1" s="8"/>
      <c r="R1" s="8"/>
      <c r="S1" s="9"/>
      <c r="T1" s="9"/>
    </row>
    <row r="2" spans="1:20" x14ac:dyDescent="0.25">
      <c r="A2" s="9"/>
      <c r="B2" s="8"/>
      <c r="C2" s="8"/>
      <c r="D2" s="8"/>
      <c r="E2" s="8"/>
      <c r="F2" s="8"/>
      <c r="G2" s="8"/>
      <c r="H2" s="8"/>
      <c r="I2" s="8"/>
      <c r="J2" s="8"/>
      <c r="K2" s="8"/>
      <c r="L2" s="8"/>
      <c r="M2" s="8"/>
      <c r="N2" s="8"/>
      <c r="O2" s="8"/>
      <c r="P2" s="8"/>
      <c r="Q2" s="8"/>
      <c r="R2" s="8"/>
      <c r="S2" s="9"/>
      <c r="T2" s="9"/>
    </row>
    <row r="3" spans="1:20" x14ac:dyDescent="0.25">
      <c r="A3" s="9"/>
      <c r="B3" s="8"/>
      <c r="C3" s="8"/>
      <c r="D3" s="8"/>
      <c r="E3" s="8"/>
      <c r="F3" s="8"/>
      <c r="G3" s="8"/>
      <c r="H3" s="8"/>
      <c r="I3" s="8"/>
      <c r="J3" s="8"/>
      <c r="K3" s="8"/>
      <c r="L3" s="8"/>
      <c r="M3" s="8"/>
      <c r="N3" s="8"/>
      <c r="O3" s="8"/>
      <c r="P3" s="8"/>
      <c r="Q3" s="8"/>
      <c r="R3" s="8"/>
      <c r="S3" s="9"/>
      <c r="T3" s="9"/>
    </row>
    <row r="4" spans="1:20" x14ac:dyDescent="0.25">
      <c r="A4" s="9"/>
      <c r="B4" s="8"/>
      <c r="C4" s="8"/>
      <c r="D4" s="8"/>
      <c r="E4" s="8"/>
      <c r="F4" s="8"/>
      <c r="G4" s="8"/>
      <c r="H4" s="8"/>
      <c r="I4" s="8"/>
      <c r="J4" s="8"/>
      <c r="K4" s="8"/>
      <c r="L4" s="8"/>
      <c r="M4" s="8"/>
      <c r="N4" s="8"/>
      <c r="O4" s="8"/>
      <c r="P4" s="8"/>
      <c r="Q4" s="8"/>
      <c r="R4" s="8"/>
      <c r="S4" s="9"/>
      <c r="T4" s="9"/>
    </row>
    <row r="5" spans="1:20" x14ac:dyDescent="0.25">
      <c r="A5" s="9"/>
      <c r="B5" s="8"/>
      <c r="C5" s="8"/>
      <c r="D5" s="8"/>
      <c r="E5" s="8"/>
      <c r="F5" s="8"/>
      <c r="G5" s="8"/>
      <c r="H5" s="8"/>
      <c r="I5" s="8"/>
      <c r="J5" s="8"/>
      <c r="K5" s="8"/>
      <c r="L5" s="8"/>
      <c r="M5" s="8"/>
      <c r="N5" s="8"/>
      <c r="O5" s="8"/>
      <c r="P5" s="8"/>
      <c r="Q5" s="8"/>
      <c r="R5" s="8"/>
      <c r="S5" s="9"/>
      <c r="T5" s="9"/>
    </row>
    <row r="6" spans="1:20" x14ac:dyDescent="0.25">
      <c r="A6" s="9"/>
      <c r="B6" s="8"/>
      <c r="C6" s="8"/>
      <c r="D6" s="8"/>
      <c r="E6" s="8"/>
      <c r="F6" s="8"/>
      <c r="G6" s="8"/>
      <c r="H6" s="8"/>
      <c r="I6" s="8"/>
      <c r="J6" s="8"/>
      <c r="K6" s="8"/>
      <c r="L6" s="8"/>
      <c r="M6" s="8"/>
      <c r="N6" s="8"/>
      <c r="O6" s="8"/>
      <c r="P6" s="8"/>
      <c r="Q6" s="8"/>
      <c r="R6" s="8"/>
      <c r="S6" s="9"/>
      <c r="T6" s="9"/>
    </row>
  </sheetData>
  <mergeCells count="1">
    <mergeCell ref="B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Haufiku</dc:creator>
  <cp:lastModifiedBy>Sam Haufiku</cp:lastModifiedBy>
  <dcterms:created xsi:type="dcterms:W3CDTF">2022-03-18T02:50:57Z</dcterms:created>
  <dcterms:modified xsi:type="dcterms:W3CDTF">2026-03-13T15:37:29Z</dcterms:modified>
</cp:coreProperties>
</file>